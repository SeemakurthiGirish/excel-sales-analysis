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hidePivotFieldList="1"/>
  <mc:AlternateContent xmlns:mc="http://schemas.openxmlformats.org/markup-compatibility/2006">
    <mc:Choice Requires="x15">
      <x15ac:absPath xmlns:x15ac="http://schemas.microsoft.com/office/spreadsheetml/2010/11/ac" url="C:\Users\Girish\Downloads\"/>
    </mc:Choice>
  </mc:AlternateContent>
  <xr:revisionPtr revIDLastSave="0" documentId="8_{7E4F258A-A459-4A54-B0E6-3503340669C4}" xr6:coauthVersionLast="47" xr6:coauthVersionMax="47" xr10:uidLastSave="{00000000-0000-0000-0000-000000000000}"/>
  <bookViews>
    <workbookView xWindow="-108" yWindow="-108" windowWidth="23256" windowHeight="12456" activeTab="1" xr2:uid="{26D4546B-D2A1-4444-8EAF-A6228F96F0C1}"/>
  </bookViews>
  <sheets>
    <sheet name="pivots" sheetId="6" r:id="rId1"/>
    <sheet name="customer centre report" sheetId="5" r:id="rId2"/>
    <sheet name="Data" sheetId="2" r:id="rId3"/>
    <sheet name="Assets" sheetId="4" r:id="rId4"/>
  </sheets>
  <definedNames>
    <definedName name="_xlnm._FilterDatabase" localSheetId="2" hidden="1">Data!$B$3:$H$1003</definedName>
    <definedName name="_xlcn.WorksheetConnection_1stexcelportfolioproject.xlsxcalls" hidden="1">calls[]</definedName>
    <definedName name="_xlcn.WorksheetConnection_1stexcelportfolioproject.xlsxcustomers"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1 st excel portfolio project.xlsx!calls"/>
          <x15:modelTable id="customers" name="customers" connection="WorksheetConnection_1 st excel portfolio 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7" i="5" l="1" a="1"/>
  <c r="Q17" i="5" s="1"/>
  <c r="J47" i="6"/>
  <c r="J50" i="6" s="1"/>
  <c r="F49" i="6" a="1"/>
  <c r="F49"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3" i="6" l="1"/>
  <c r="I51" i="6"/>
  <c r="I50" i="6"/>
  <c r="J49" i="6"/>
  <c r="J53" i="6"/>
  <c r="J52" i="6"/>
  <c r="I49" i="6"/>
  <c r="J51" i="6"/>
  <c r="I5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363CF3B-2EF7-45FE-B94C-73520D6A354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D68249C-8633-439E-993E-5CD31F5B685D}" name="WorksheetConnection_1 st excel portfolio project.xlsx!calls" type="102" refreshedVersion="8" minRefreshableVersion="5">
    <extLst>
      <ext xmlns:x15="http://schemas.microsoft.com/office/spreadsheetml/2010/11/main" uri="{DE250136-89BD-433C-8126-D09CA5730AF9}">
        <x15:connection id="calls" autoDelete="1">
          <x15:rangePr sourceName="_xlcn.WorksheetConnection_1stexcelportfolioproject.xlsxcalls"/>
        </x15:connection>
      </ext>
    </extLst>
  </connection>
  <connection id="3" xr16:uid="{4F158B2F-15D4-434C-B150-93523E0D88B4}" name="WorksheetConnection_1 st excel portfolio project.xlsx!customers" type="102" refreshedVersion="8" minRefreshableVersion="5">
    <extLst>
      <ext xmlns:x15="http://schemas.microsoft.com/office/spreadsheetml/2010/11/main" uri="{DE250136-89BD-433C-8126-D09CA5730AF9}">
        <x15:connection id="customers">
          <x15:rangePr sourceName="_xlcn.WorksheetConnection_1st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<sst xmlns="http://schemas.openxmlformats.org/spreadsheetml/2006/main" count="3186" uniqueCount="1078">
  <si>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</si>
  <si>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</si>
  <si>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</si>
  <si>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</si>
  <si>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</si>
  <si>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</si>
  <si>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</si>
  <si>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</si>
  <si>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</si>
  <si>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</si>
  <si>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</si>
  <si>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</si>
  <si>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</si>
  <si>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</si>
  <si>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</si>
  <si>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</si>
  <si>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</si>
  <si>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</si>
  <si>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</si>
  <si>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</si>
  <si>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</si>
  <si>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</si>
  <si>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</si>
  <si>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</si>
  <si>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</si>
  <si>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</si>
  <si>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</si>
  <si>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</si>
  <si>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</si>
  <si>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</si>
  <si>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</si>
  <si>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</si>
  <si>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</si>
  <si>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</si>
  <si>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</si>
  <si>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</si>
  <si>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</si>
  <si>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</si>
  <si>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</si>
  <si>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</si>
  <si>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</si>
  <si>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</si>
  <si>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</si>
  <si>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</si>
  <si>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</si>
  <si>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</si>
  <si>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</si>
  <si>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</si>
  <si>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</si>
  <si>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</si>
  <si>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</si>
  <si>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</si>
  <si>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</si>
  <si>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</si>
  <si>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</si>
  <si>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</si>
  <si>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</si>
  <si>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</si>
  <si>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</si>
  <si>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</si>
  <si>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</si>
  <si>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</si>
  <si>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</si>
  <si>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</si>
  <si>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</si>
  <si>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</si>
  <si>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</si>
  <si>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</si>
  <si>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</si>
  <si>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</si>
  <si>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</si>
  <si>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</si>
  <si>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</si>
  <si>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</si>
  <si>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</si>
  <si>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</si>
  <si>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</si>
  <si>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</si>
  <si>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</si>
  <si>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</si>
  <si>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</si>
  <si>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</si>
  <si>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</si>
  <si>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</si>
  <si>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</si>
  <si>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</si>
  <si>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</si>
  <si>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</si>
  <si>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</si>
  <si>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</si>
  <si>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</si>
  <si>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</si>
  <si>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</si>
  <si>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</si>
  <si>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</si>
  <si>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</si>
  <si>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</si>
  <si>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</si>
  <si>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</si>
  <si>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</si>
  <si>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</si>
  <si>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</si>
  <si>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</si>
  <si>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</si>
  <si>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</si>
  <si>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</si>
  <si>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</si>
  <si>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</si>
  <si>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</si>
  <si>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</si>
  <si>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</si>
  <si>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</si>
  <si>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</si>
  <si>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</si>
  <si>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</si>
  <si>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</si>
  <si>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</si>
  <si>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</si>
  <si>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</si>
  <si>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</si>
  <si>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</si>
  <si>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</si>
  <si>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</si>
  <si>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</si>
  <si>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</si>
  <si>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</si>
  <si>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</si>
  <si>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</si>
  <si>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</si>
  <si>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</si>
  <si>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</si>
  <si>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</si>
  <si>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</si>
  <si>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</si>
  <si>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</si>
  <si>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</si>
  <si>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</si>
  <si>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</si>
  <si>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</si>
  <si>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</si>
  <si>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</si>
  <si>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</si>
  <si>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</si>
  <si>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</si>
  <si>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</si>
  <si>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</si>
  <si>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</si>
  <si>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</si>
  <si>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</si>
  <si>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</si>
  <si>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</si>
  <si>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</si>
  <si>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</si>
  <si>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</si>
  <si>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</si>
  <si>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</si>
  <si>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</si>
  <si>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</si>
  <si>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</si>
  <si>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</si>
  <si>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</si>
  <si>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</si>
  <si>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</si>
  <si>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</si>
  <si>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</si>
  <si>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</si>
  <si>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</si>
  <si>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</si>
  <si>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</si>
  <si>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</si>
  <si>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</si>
  <si>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</si>
  <si>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</si>
  <si>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</si>
  <si>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</si>
  <si>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</si>
  <si>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</si>
  <si>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</si>
  <si>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</si>
  <si>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</si>
  <si>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</si>
  <si>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</si>
  <si>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</si>
  <si>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</si>
  <si>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</si>
  <si>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</si>
  <si>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</si>
  <si>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</si>
  <si>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</si>
  <si>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</si>
  <si>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</si>
  <si>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</si>
  <si>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</si>
  <si>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</si>
  <si>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</si>
  <si>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</si>
  <si>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</si>
  <si>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</si>
  <si>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</si>
  <si>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</si>
  <si>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</si>
  <si>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</si>
  <si>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</si>
  <si>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</si>
  <si>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</si>
  <si>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</si>
  <si>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</si>
  <si>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</si>
  <si>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</si>
  <si>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</si>
  <si>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</si>
  <si>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</si>
  <si>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</si>
  <si>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</si>
  <si>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</si>
  <si>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</si>
  <si>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</si>
  <si>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</si>
  <si>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</si>
  <si>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</si>
  <si>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</si>
  <si>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</si>
  <si>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</si>
  <si>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</si>
  <si>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</si>
  <si>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</si>
  <si>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</si>
  <si>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</si>
  <si>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</si>
  <si>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</si>
  <si>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</si>
  <si>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</si>
  <si>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</si>
  <si>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</si>
  <si>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</si>
  <si>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</si>
  <si>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</si>
  <si>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</si>
  <si>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</si>
  <si>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</si>
  <si>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</si>
  <si>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</si>
  <si>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</si>
  <si>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</si>
  <si>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</si>
  <si>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</si>
  <si>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</si>
  <si>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</si>
  <si>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</si>
  <si>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</si>
  <si>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</si>
  <si>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</si>
  <si>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</si>
  <si>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</si>
  <si>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</si>
  <si>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</si>
  <si>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</si>
  <si>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</si>
  <si>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</si>
  <si>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</si>
  <si>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</si>
  <si>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</si>
  <si>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</si>
  <si>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</si>
  <si>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</si>
  <si>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</si>
  <si>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</si>
  <si>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</si>
  <si>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</si>
  <si>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</si>
  <si>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</si>
  <si>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</si>
  <si>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</si>
  <si>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</si>
  <si>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</si>
  <si>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</si>
  <si>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</si>
  <si>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</si>
  <si>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</si>
  <si>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</si>
  <si>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</si>
  <si>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</si>
  <si>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</si>
  <si>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</si>
  <si>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</si>
  <si>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</si>
  <si>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</si>
  <si>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</si>
  <si>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</si>
  <si>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</si>
  <si>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</si>
  <si>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</si>
  <si>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</si>
  <si>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</si>
  <si>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</si>
  <si>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</si>
  <si>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</si>
  <si>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</si>
  <si>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</si>
  <si>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</si>
  <si>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</si>
  <si>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</si>
  <si>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</si>
  <si>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</si>
  <si>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</si>
  <si>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</si>
  <si>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</si>
  <si>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</si>
  <si>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</si>
  <si>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</si>
  <si>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</si>
  <si>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</si>
  <si>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</si>
  <si>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</si>
  <si>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</si>
  <si>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</si>
  <si>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</si>
  <si>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</si>
  <si>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</si>
  <si>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</si>
  <si>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</si>
  <si>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</si>
  <si>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</si>
  <si>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</si>
  <si>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</si>
  <si>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</si>
  <si>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</si>
  <si>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</si>
  <si>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</si>
  <si>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</si>
  <si>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</si>
  <si>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</si>
  <si>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</si>
  <si>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</si>
  <si>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</si>
  <si>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</si>
  <si>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</si>
  <si>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</si>
  <si>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</si>
  <si>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</si>
  <si>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</si>
  <si>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</si>
  <si>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</si>
  <si>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</si>
  <si>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</si>
  <si>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</si>
  <si>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</si>
  <si>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</si>
  <si>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</si>
  <si>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</si>
  <si>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</si>
  <si>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</si>
  <si>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</si>
  <si>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</si>
  <si>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</si>
  <si>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</si>
  <si>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</si>
  <si>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</si>
  <si>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</si>
  <si>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</si>
  <si>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</si>
  <si>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</si>
  <si>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</si>
  <si>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</si>
  <si>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</si>
  <si>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</si>
  <si>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</si>
  <si>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</si>
  <si>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</si>
  <si>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</si>
  <si>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</si>
  <si>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</si>
  <si>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</si>
  <si>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</si>
  <si>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</si>
  <si>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</si>
  <si>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</si>
  <si>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</si>
  <si>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</si>
  <si>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</si>
  <si>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</si>
  <si>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</si>
  <si>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</si>
  <si>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</si>
  <si>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</si>
  <si>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</si>
  <si>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</si>
  <si>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</si>
  <si>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</si>
  <si>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</si>
  <si>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</si>
  <si>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</si>
  <si>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</si>
  <si>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</si>
  <si>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</si>
  <si>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</si>
  <si>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</si>
  <si>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</si>
  <si>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</si>
  <si>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</si>
  <si>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</si>
  <si>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</si>
  <si>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</si>
  <si>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</si>
  <si>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</si>
  <si>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</si>
  <si>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</si>
  <si>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</si>
  <si>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</si>
  <si>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</si>
  <si>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</si>
  <si>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</si>
  <si>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</si>
  <si>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</si>
  <si>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</si>
  <si>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</si>
  <si>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</si>
  <si>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</si>
  <si>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</si>
  <si>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</si>
  <si>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</si>
  <si>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</si>
  <si>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</si>
  <si>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</si>
  <si>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</si>
  <si>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</si>
  <si>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</si>
  <si>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</si>
  <si>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</si>
  <si>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</si>
  <si>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</si>
  <si>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</si>
  <si>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</si>
  <si>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</si>
  <si>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</si>
  <si>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</si>
  <si>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</si>
  <si>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</si>
  <si>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</si>
  <si>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</si>
  <si>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</si>
  <si>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</si>
  <si>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</si>
  <si>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</si>
  <si>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</si>
  <si>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</si>
  <si>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</si>
  <si>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</si>
  <si>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</si>
  <si>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</si>
  <si>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</si>
  <si>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</si>
  <si>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</si>
  <si>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</si>
  <si>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</si>
  <si>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</si>
  <si>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</si>
  <si>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</si>
  <si>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</si>
  <si>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</si>
  <si>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</si>
  <si>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</si>
  <si>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</si>
  <si>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</si>
  <si>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</si>
  <si>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</si>
  <si>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</si>
  <si>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</si>
  <si>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</si>
  <si>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</si>
  <si>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</si>
  <si>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</si>
  <si>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</si>
  <si>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</si>
  <si>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</si>
  <si>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</si>
  <si>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</si>
  <si>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</si>
  <si>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</si>
  <si>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</si>
  <si>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</si>
  <si>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</si>
  <si>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</si>
  <si>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</si>
  <si>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</si>
  <si>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</si>
  <si>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</si>
  <si>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</si>
  <si>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</si>
  <si>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</si>
  <si>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</si>
  <si>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</si>
  <si>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</si>
  <si>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</si>
  <si>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</si>
  <si>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</si>
  <si>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</si>
  <si>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</si>
  <si>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</si>
  <si>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</si>
  <si>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</si>
  <si>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</si>
  <si>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</si>
  <si>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</si>
  <si>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</si>
  <si>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</si>
  <si>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</si>
  <si>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</si>
  <si>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</si>
  <si>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</si>
  <si>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</si>
  <si>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</si>
  <si>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</si>
  <si>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</si>
  <si>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</si>
  <si>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</si>
  <si>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</si>
  <si>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</si>
  <si>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</si>
  <si>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</si>
  <si>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</si>
  <si>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</si>
  <si>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</si>
  <si>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</si>
  <si>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</si>
  <si>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</si>
  <si>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</si>
  <si>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</si>
  <si>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</si>
  <si>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</si>
  <si>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</si>
  <si>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</si>
  <si>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</si>
  <si>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</si>
  <si>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</si>
  <si>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</si>
  <si>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</si>
  <si>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</si>
  <si>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</si>
  <si>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</si>
  <si>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</si>
  <si>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</si>
  <si>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</si>
  <si>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</si>
  <si>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</si>
  <si>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</si>
  <si>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</si>
  <si>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</si>
  <si>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</si>
  <si>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</si>
  <si>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</si>
  <si>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</si>
  <si>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</si>
  <si>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</si>
  <si>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</si>
  <si>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</si>
  <si>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</si>
  <si>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</si>
  <si>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</si>
  <si>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</si>
  <si>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</si>
  <si>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</si>
  <si>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</si>
  <si>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</si>
  <si>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</si>
  <si>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</si>
  <si>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</si>
  <si>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</si>
  <si>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</si>
  <si>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</si>
  <si>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</si>
  <si>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</si>
  <si>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</si>
  <si>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</si>
  <si>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</si>
  <si>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</si>
  <si>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</si>
  <si>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</si>
  <si>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</si>
  <si>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</si>
  <si>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</si>
  <si>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</si>
  <si>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</si>
  <si>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</si>
  <si>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</si>
  <si>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</si>
  <si>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</si>
  <si>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</si>
  <si>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</si>
  <si>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</si>
  <si>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</si>
  <si>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</si>
  <si>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</si>
  <si>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</si>
  <si>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</si>
  <si>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</si>
  <si>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</si>
  <si>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</si>
  <si>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</si>
  <si>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</si>
  <si>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</si>
  <si>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</si>
  <si>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</si>
  <si>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</si>
  <si>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</si>
  <si>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</si>
  <si>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</si>
  <si>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</si>
  <si>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</si>
  <si>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</si>
  <si>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</si>
  <si>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</si>
  <si>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</si>
  <si>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</si>
  <si>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</si>
  <si>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</si>
  <si>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</si>
  <si>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</si>
  <si>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</si>
  <si>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</si>
  <si>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</si>
  <si>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</si>
  <si>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</si>
  <si>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</si>
  <si>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</si>
  <si>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</si>
  <si>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</si>
  <si>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</si>
  <si>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</si>
  <si>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</si>
  <si>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</si>
  <si>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</si>
  <si>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</si>
  <si>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</si>
  <si>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</si>
  <si>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</si>
  <si>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</si>
  <si>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</si>
  <si>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</si>
  <si>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</si>
  <si>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</si>
  <si>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</si>
  <si>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</si>
  <si>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</si>
  <si>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</si>
  <si>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</si>
  <si>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</si>
  <si>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</si>
  <si>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</si>
  <si>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</si>
  <si>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</si>
  <si>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</si>
  <si>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</si>
  <si>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</si>
  <si>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</si>
  <si>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</si>
  <si>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</si>
  <si>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</si>
  <si>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</si>
  <si>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</si>
  <si>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</si>
  <si>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</si>
  <si>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</si>
  <si>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</si>
  <si>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</si>
  <si>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</si>
  <si>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</si>
  <si>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</si>
  <si>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</si>
  <si>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</si>
  <si>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</si>
  <si>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</si>
  <si>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</si>
  <si>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</si>
  <si>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</si>
  <si>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</si>
  <si>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</si>
  <si>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</si>
  <si>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</si>
  <si>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</si>
  <si>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</si>
  <si>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</si>
  <si>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</si>
  <si>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</si>
  <si>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</si>
  <si>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</si>
  <si>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</si>
  <si>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</si>
  <si>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</si>
  <si>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</si>
  <si>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</si>
  <si>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</si>
  <si>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</si>
  <si>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</si>
  <si>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</si>
  <si>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</si>
  <si>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</si>
  <si>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</si>
  <si>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</si>
  <si>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</si>
  <si>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</si>
  <si>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</si>
  <si>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</si>
  <si>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</si>
  <si>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</si>
  <si>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</si>
  <si>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</si>
  <si>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</si>
  <si>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</si>
  <si>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</si>
  <si>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</si>
  <si>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</si>
  <si>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</si>
  <si>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</si>
  <si>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</si>
  <si>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</si>
  <si>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</si>
  <si>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</si>
  <si>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</si>
  <si>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</si>
  <si>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</si>
  <si>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</si>
  <si>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</si>
  <si>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</si>
  <si>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</si>
  <si>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</si>
  <si>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</si>
  <si>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</si>
  <si>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</si>
  <si>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</si>
  <si>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</si>
  <si>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</si>
  <si>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</si>
  <si>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</si>
  <si>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</si>
  <si>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</si>
  <si>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</si>
  <si>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</si>
  <si>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</si>
  <si>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</si>
  <si>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</si>
  <si>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</si>
  <si>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</si>
  <si>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</si>
  <si>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</si>
  <si>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</si>
  <si>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</si>
  <si>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</si>
  <si>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</si>
  <si>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</si>
  <si>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</si>
  <si>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</si>
  <si>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</si>
  <si>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</si>
  <si>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</si>
  <si>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</si>
  <si>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</si>
  <si>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</si>
  <si>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</si>
  <si>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</si>
  <si>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</si>
  <si>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</si>
  <si>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</si>
  <si>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</si>
  <si>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</si>
  <si>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</si>
  <si>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</si>
  <si>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</si>
  <si>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</si>
  <si>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</si>
  <si>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</si>
  <si>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</si>
  <si>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</si>
  <si>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</si>
  <si>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</si>
  <si>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</si>
  <si>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</si>
  <si>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</si>
  <si>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</si>
  <si>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</si>
  <si>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</si>
  <si>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</si>
  <si>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</si>
  <si>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</si>
  <si>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</si>
  <si>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</si>
  <si>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</si>
  <si>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</si>
  <si>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</si>
  <si>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</si>
  <si>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</si>
  <si>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</si>
  <si>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</si>
  <si>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</si>
  <si>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</si>
  <si>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</si>
  <si>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</si>
  <si>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</si>
  <si>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</si>
  <si>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</si>
  <si>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</si>
  <si>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</si>
  <si>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</si>
  <si>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</si>
  <si>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</si>
  <si>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</si>
  <si>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</si>
  <si>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</si>
  <si>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</si>
  <si>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</si>
  <si>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</si>
  <si>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</si>
  <si>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</si>
  <si>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</si>
  <si>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</si>
  <si>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</si>
  <si>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</si>
  <si>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</si>
  <si>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</si>
  <si>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</si>
  <si>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</si>
  <si>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</si>
  <si>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</si>
  <si>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</si>
  <si>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</si>
  <si>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</si>
  <si>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</si>
  <si>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</si>
  <si>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</si>
  <si>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</si>
  <si>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</si>
  <si>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</si>
  <si>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</si>
  <si>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</si>
  <si>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</si>
  <si>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</si>
  <si>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</si>
  <si>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</si>
  <si>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</si>
  <si>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</si>
  <si>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</si>
  <si>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</si>
  <si>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</si>
  <si>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</si>
  <si>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</si>
  <si>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</si>
  <si>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</si>
  <si>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</si>
  <si>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</si>
  <si>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</si>
  <si>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</si>
  <si>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</si>
  <si>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</si>
  <si>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</si>
  <si>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</si>
  <si>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</si>
  <si>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</si>
  <si>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</si>
  <si>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</si>
  <si>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</si>
  <si>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</si>
  <si>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</si>
  <si>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</si>
  <si>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</si>
  <si>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</si>
  <si>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</si>
  <si>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</si>
  <si>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</si>
  <si>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</si>
  <si>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</si>
  <si>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</si>
  <si>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</si>
  <si>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</si>
  <si>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</si>
  <si>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</si>
  <si>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</si>
  <si>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</si>
  <si>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</si>
  <si>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</si>
  <si>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</si>
  <si>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</si>
  <si>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</si>
  <si>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</si>
  <si>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</si>
  <si>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</si>
  <si>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</si>
  <si>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</si>
  <si>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</si>
  <si>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</si>
  <si>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</si>
  <si>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</si>
  <si>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</si>
  <si>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</si>
  <si>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</si>
  <si>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</si>
  <si>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</si>
  <si>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</si>
  <si>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</si>
  <si>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</si>
  <si>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</si>
  <si>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</si>
  <si>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</si>
  <si>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</si>
  <si>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</si>
  <si>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</si>
  <si>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</si>
  <si>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</si>
  <si>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</si>
  <si>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</si>
  <si>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</si>
  <si>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</si>
  <si>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</si>
  <si>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</si>
  <si>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</si>
  <si>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</si>
  <si>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</si>
  <si>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</si>
  <si>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</si>
  <si>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</si>
  <si>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</si>
  <si>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</si>
  <si>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</si>
  <si>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</si>
  <si>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</si>
  <si>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</si>
  <si>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</si>
  <si>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</si>
  <si>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</si>
  <si>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</si>
  <si>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</si>
  <si>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</si>
  <si>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</si>
  <si>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</si>
  <si>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</si>
  <si>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</si>
  <si>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</si>
  <si>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</si>
  <si>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</si>
  <si>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</si>
  <si>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</si>
  <si>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</si>
  <si>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</si>
  <si>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</si>
  <si>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</si>
  <si>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</si>
  <si>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</si>
  <si>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</si>
  <si>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</si>
  <si>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</si>
  <si>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</si>
  <si>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</si>
  <si>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</si>
  <si>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</si>
  <si>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</si>
  <si>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</si>
  <si>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</si>
  <si>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</si>
  <si>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</si>
  <si>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</si>
  <si>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</si>
  <si>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</si>
  <si>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</si>
  <si>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</si>
  <si>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</si>
  <si>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</si>
  <si>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</si>
  <si>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</si>
  <si>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</si>
  <si>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</si>
  <si>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</si>
  <si>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</si>
  <si>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</si>
  <si>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</si>
  <si>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</si>
  <si>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</si>
  <si>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</si>
  <si>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</si>
  <si>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</si>
  <si>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</si>
  <si>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</si>
  <si>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</si>
  <si>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</si>
  <si>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</si>
  <si>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</si>
  <si>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</si>
  <si>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</si>
  <si>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</si>
  <si>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</si>
  <si>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</si>
  <si>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</si>
  <si>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</si>
  <si>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</si>
  <si>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</si>
  <si>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</si>
  <si>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</si>
  <si>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</si>
  <si>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</si>
  <si>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</si>
  <si>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</si>
  <si>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</si>
  <si>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</si>
  <si>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</si>
  <si>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</si>
  <si>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</si>
  <si>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</si>
  <si>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</si>
  <si>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</si>
  <si>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</si>
  <si>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</si>
  <si>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</si>
  <si>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</si>
  <si>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</si>
  <si>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</si>
  <si>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</si>
  <si>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</si>
  <si>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</si>
  <si>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</si>
  <si>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</si>
  <si>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</si>
  <si>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</si>
  <si>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</si>
  <si>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</si>
  <si>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</si>
  <si>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</si>
  <si>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</si>
  <si>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</si>
  <si>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</si>
  <si>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</si>
  <si>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</si>
  <si>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</si>
  <si>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</si>
  <si>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</si>
  <si>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</si>
  <si>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</si>
  <si>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</si>
  <si>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</si>
  <si>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</si>
  <si>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</si>
  <si>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</si>
  <si>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</si>
  <si>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</si>
  <si>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</si>
  <si>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count calls</t>
  </si>
  <si>
    <t>total amount</t>
  </si>
  <si>
    <t>total duration</t>
  </si>
  <si>
    <t>avg.rating</t>
  </si>
  <si>
    <t>5* calls</t>
  </si>
  <si>
    <t>Row Labels</t>
  </si>
  <si>
    <t>Grand Total</t>
  </si>
  <si>
    <t>Jan</t>
  </si>
  <si>
    <t>Feb</t>
  </si>
  <si>
    <t>Mar</t>
  </si>
  <si>
    <t>Apr</t>
  </si>
  <si>
    <t>May</t>
  </si>
  <si>
    <t>Jun</t>
  </si>
  <si>
    <t>Jul</t>
  </si>
  <si>
    <t>Aug</t>
  </si>
  <si>
    <t>Sep</t>
  </si>
  <si>
    <t>Oct</t>
  </si>
  <si>
    <t>Nov</t>
  </si>
  <si>
    <t>Dec</t>
  </si>
  <si>
    <t>count calls2</t>
  </si>
  <si>
    <t>Friday</t>
  </si>
  <si>
    <t>Monday</t>
  </si>
  <si>
    <t>Saturday</t>
  </si>
  <si>
    <t>Sunday</t>
  </si>
  <si>
    <t>Thursday</t>
  </si>
  <si>
    <t>Tuesday</t>
  </si>
  <si>
    <t>Wednesday</t>
  </si>
  <si>
    <t>for graph</t>
  </si>
  <si>
    <t>rep</t>
  </si>
  <si>
    <t>calls</t>
  </si>
  <si>
    <t>amount</t>
  </si>
  <si>
    <t>sel.calls</t>
  </si>
  <si>
    <t>sel.amount</t>
  </si>
  <si>
    <t>selected rep</t>
  </si>
  <si>
    <t>Column Labels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</si>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</sst>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quot;₹&quot;\ #,##0;#,##0\ \-&quot;₹&quot;;&quot;₹&quot;\ #,##0"/>
    <numFmt numFmtId="166" formatCode="0.0"/>
    <numFmt numFmtId="167" formatCode="\$#,###.0,&quot;k&quot;"/>
    <numFmt numFmtId="168" formatCode="&quot;₹&quot;\ #,##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1"/>
      <color theme="1"/>
      <name val="Arial Black"/>
      <family val="2"/>
    </font>
    <font>
      <b/>
      <sz val="10"/>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165" fontId="1" fillId="0" borderId="0" xfId="0" applyNumberFormat="1" applyFont="1"/>
    <xf numFmtId="0" fontId="1" fillId="0" borderId="0" xfId="0" applyFont="1" applyAlignment="1">
      <alignment horizontal="left" indent="1"/>
    </xf>
    <xf numFmtId="0" fontId="4" fillId="3" borderId="0" xfId="0" applyFont="1" applyFill="1"/>
    <xf numFmtId="0" fontId="5" fillId="3" borderId="0" xfId="0" applyFont="1" applyFill="1" applyAlignment="1">
      <alignment horizontal="left"/>
    </xf>
    <xf numFmtId="0" fontId="5" fillId="3" borderId="0" xfId="0" applyFont="1" applyFill="1"/>
    <xf numFmtId="0" fontId="5" fillId="3" borderId="0" xfId="0" applyFont="1" applyFill="1" applyAlignment="1">
      <alignment horizontal="left" indent="2"/>
    </xf>
    <xf numFmtId="168" fontId="5" fillId="3" borderId="0" xfId="0" applyNumberFormat="1" applyFont="1" applyFill="1"/>
  </cellXfs>
  <cellStyles count="1">
    <cellStyle name="Normal" xfId="0" builtinId="0"/>
  </cellStyles>
  <dxfs count="24">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font>
    </dxf>
    <dxf>
      <font>
        <b/>
      </font>
    </dxf>
    <dxf>
      <font>
        <b/>
      </font>
    </dxf>
    <dxf>
      <font>
        <b/>
      </font>
    </dxf>
    <dxf>
      <font>
        <b/>
      </font>
    </dxf>
    <dxf>
      <font>
        <b/>
      </font>
    </dxf>
    <dxf>
      <fill>
        <patternFill patternType="solid">
          <bgColor theme="8"/>
        </patternFill>
      </fil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3"/>
    </tableStyle>
    <tableStyle name="SlicerStyleDark5 2" pivot="0" table="0" count="10" xr9:uid="{C2526E72-D180-4C76-9D87-9FB76C15C32B}">
      <tableStyleElement type="wholeTable" dxfId="22"/>
      <tableStyleElement type="headerRow" dxfId="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Types" Target="richData/rdRichValueTypes.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microsoft.com/office/2017/06/relationships/rdRichValueStructure" Target="richData/rdrichvaluestructure.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project.xlsx]pivots!monthly trend</c:name>
    <c:fmtId val="4"/>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pivots!$C$20</c:f>
              <c:strCache>
                <c:ptCount val="1"/>
                <c:pt idx="0">
                  <c:v>count calls2</c:v>
                </c:pt>
              </c:strCache>
            </c:strRef>
          </c:tx>
          <c:spPr>
            <a:solidFill>
              <a:schemeClr val="accent2"/>
            </a:solidFill>
            <a:ln>
              <a:no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2-B916-40D4-A912-19B34D92820C}"/>
            </c:ext>
          </c:extLst>
        </c:ser>
        <c:dLbls>
          <c:showLegendKey val="0"/>
          <c:showVal val="0"/>
          <c:showCatName val="0"/>
          <c:showSerName val="0"/>
          <c:showPercent val="0"/>
          <c:showBubbleSize val="0"/>
        </c:dLbls>
        <c:axId val="1963511536"/>
        <c:axId val="1963509136"/>
      </c:areaChart>
      <c:lineChart>
        <c:grouping val="standard"/>
        <c:varyColors val="0"/>
        <c:ser>
          <c:idx val="0"/>
          <c:order val="0"/>
          <c:tx>
            <c:strRef>
              <c:f>pivots!$B$20</c:f>
              <c:strCache>
                <c:ptCount val="1"/>
                <c:pt idx="0">
                  <c:v>count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B916-40D4-A912-19B34D92820C}"/>
            </c:ext>
          </c:extLst>
        </c:ser>
        <c:dLbls>
          <c:showLegendKey val="0"/>
          <c:showVal val="0"/>
          <c:showCatName val="0"/>
          <c:showSerName val="0"/>
          <c:showPercent val="0"/>
          <c:showBubbleSize val="0"/>
        </c:dLbls>
        <c:marker val="1"/>
        <c:smooth val="0"/>
        <c:axId val="1963511536"/>
        <c:axId val="1963509136"/>
      </c:lineChart>
      <c:catAx>
        <c:axId val="196351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09136"/>
        <c:crosses val="autoZero"/>
        <c:auto val="1"/>
        <c:lblAlgn val="ctr"/>
        <c:lblOffset val="100"/>
        <c:noMultiLvlLbl val="0"/>
      </c:catAx>
      <c:valAx>
        <c:axId val="1963509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1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project.xlsx]pivots!weekly trend</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pivots!$B$36</c:f>
              <c:strCache>
                <c:ptCount val="1"/>
                <c:pt idx="0">
                  <c:v>Total</c:v>
                </c:pt>
              </c:strCache>
            </c:strRef>
          </c:tx>
          <c:spPr>
            <a:solidFill>
              <a:schemeClr val="accent1"/>
            </a:solidFill>
            <a:ln>
              <a:noFill/>
            </a:ln>
            <a:effectLst/>
          </c:spPr>
          <c:invertIfNegative val="0"/>
          <c:cat>
            <c:strRef>
              <c:f>pivots!$A$37:$A$44</c:f>
              <c:strCache>
                <c:ptCount val="7"/>
                <c:pt idx="0">
                  <c:v>Saturday</c:v>
                </c:pt>
                <c:pt idx="1">
                  <c:v>Friday</c:v>
                </c:pt>
                <c:pt idx="2">
                  <c:v>Thursday</c:v>
                </c:pt>
                <c:pt idx="3">
                  <c:v>Wednesday</c:v>
                </c:pt>
                <c:pt idx="4">
                  <c:v>Tuesday</c:v>
                </c:pt>
                <c:pt idx="5">
                  <c:v>Monday</c:v>
                </c:pt>
                <c:pt idx="6">
                  <c:v>Sunday</c:v>
                </c:pt>
              </c:strCache>
            </c:strRef>
          </c:cat>
          <c:val>
            <c:numRef>
              <c:f>pivots!$B$37:$B$44</c:f>
              <c:numCache>
                <c:formatCode>#,##0</c:formatCode>
                <c:ptCount val="7"/>
                <c:pt idx="0">
                  <c:v>161</c:v>
                </c:pt>
                <c:pt idx="1">
                  <c:v>141</c:v>
                </c:pt>
                <c:pt idx="2">
                  <c:v>128</c:v>
                </c:pt>
                <c:pt idx="3">
                  <c:v>153</c:v>
                </c:pt>
                <c:pt idx="4">
                  <c:v>138</c:v>
                </c:pt>
                <c:pt idx="5">
                  <c:v>133</c:v>
                </c:pt>
                <c:pt idx="6">
                  <c:v>146</c:v>
                </c:pt>
              </c:numCache>
            </c:numRef>
          </c:val>
          <c:extLst>
            <c:ext xmlns:c16="http://schemas.microsoft.com/office/drawing/2014/chart" uri="{C3380CC4-5D6E-409C-BE32-E72D297353CC}">
              <c16:uniqueId val="{00000000-031C-42E7-809D-081A61B8A24B}"/>
            </c:ext>
          </c:extLst>
        </c:ser>
        <c:dLbls>
          <c:showLegendKey val="0"/>
          <c:showVal val="0"/>
          <c:showCatName val="0"/>
          <c:showSerName val="0"/>
          <c:showPercent val="0"/>
          <c:showBubbleSize val="0"/>
        </c:dLbls>
        <c:gapWidth val="182"/>
        <c:axId val="1581419632"/>
        <c:axId val="77568703"/>
      </c:barChart>
      <c:catAx>
        <c:axId val="158141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68703"/>
        <c:crosses val="autoZero"/>
        <c:auto val="1"/>
        <c:lblAlgn val="ctr"/>
        <c:lblOffset val="100"/>
        <c:noMultiLvlLbl val="0"/>
      </c:catAx>
      <c:valAx>
        <c:axId val="775687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41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pivots!$F$49:$F$53</c:f>
              <c:strCache>
                <c:ptCount val="5"/>
                <c:pt idx="0">
                  <c:v>R01</c:v>
                </c:pt>
                <c:pt idx="1">
                  <c:v>R02</c:v>
                </c:pt>
                <c:pt idx="2">
                  <c:v>R03</c:v>
                </c:pt>
                <c:pt idx="3">
                  <c:v>R04</c:v>
                </c:pt>
                <c:pt idx="4">
                  <c:v>R05</c:v>
                </c:pt>
              </c:strCache>
            </c:strRef>
          </c:cat>
          <c:val>
            <c:numRef>
              <c:f>pivots!$G$49:$G$53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4AE-4718-8CC0-0870E07E48F5}"/>
            </c:ext>
          </c:extLst>
        </c:ser>
        <c:ser>
          <c:idx val="1"/>
          <c:order val="1"/>
          <c:tx>
            <c:strRef>
              <c:f>pivots!$I$48</c:f>
              <c:strCache>
                <c:ptCount val="1"/>
                <c:pt idx="0">
                  <c:v>sel.calls</c:v>
                </c:pt>
              </c:strCache>
            </c:strRef>
          </c:tx>
          <c:spPr>
            <a:gradFill>
              <a:gsLst>
                <a:gs pos="2000">
                  <a:schemeClr val="accent6">
                    <a:lumMod val="95000"/>
                    <a:alpha val="95000"/>
                  </a:schemeClr>
                </a:gs>
                <a:gs pos="97000">
                  <a:schemeClr val="accent5"/>
                </a:gs>
              </a:gsLst>
              <a:path path="circle">
                <a:fillToRect l="50000" t="50000" r="50000" b="50000"/>
              </a:path>
            </a:gradFill>
            <a:ln>
              <a:noFill/>
            </a:ln>
            <a:effectLst/>
          </c:spPr>
          <c:invertIfNegative val="0"/>
          <c:val>
            <c:numRef>
              <c:f>pivots!$I$49:$I$53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2-A4AE-4718-8CC0-0870E07E48F5}"/>
            </c:ext>
          </c:extLst>
        </c:ser>
        <c:dLbls>
          <c:showLegendKey val="0"/>
          <c:showVal val="0"/>
          <c:showCatName val="0"/>
          <c:showSerName val="0"/>
          <c:showPercent val="0"/>
          <c:showBubbleSize val="0"/>
        </c:dLbls>
        <c:gapWidth val="25"/>
        <c:overlap val="100"/>
        <c:axId val="87380783"/>
        <c:axId val="87378863"/>
      </c:barChart>
      <c:catAx>
        <c:axId val="87380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8863"/>
        <c:crosses val="autoZero"/>
        <c:auto val="1"/>
        <c:lblAlgn val="ctr"/>
        <c:lblOffset val="100"/>
        <c:noMultiLvlLbl val="0"/>
      </c:catAx>
      <c:valAx>
        <c:axId val="87378863"/>
        <c:scaling>
          <c:orientation val="minMax"/>
          <c:max val="230"/>
          <c:min val="0"/>
        </c:scaling>
        <c:delete val="1"/>
        <c:axPos val="t"/>
        <c:numFmt formatCode="General" sourceLinked="1"/>
        <c:majorTickMark val="out"/>
        <c:minorTickMark val="none"/>
        <c:tickLblPos val="nextTo"/>
        <c:crossAx val="873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pivots!$F$49:$F$53</c:f>
              <c:strCache>
                <c:ptCount val="5"/>
                <c:pt idx="0">
                  <c:v>R01</c:v>
                </c:pt>
                <c:pt idx="1">
                  <c:v>R02</c:v>
                </c:pt>
                <c:pt idx="2">
                  <c:v>R03</c:v>
                </c:pt>
                <c:pt idx="3">
                  <c:v>R04</c:v>
                </c:pt>
                <c:pt idx="4">
                  <c:v>R05</c:v>
                </c:pt>
              </c:strCache>
            </c:strRef>
          </c:cat>
          <c:val>
            <c:numRef>
              <c:f>pivots!$H$49:$H$53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22C-43FE-AED0-919A17BBAF6E}"/>
            </c:ext>
          </c:extLst>
        </c:ser>
        <c:ser>
          <c:idx val="1"/>
          <c:order val="1"/>
          <c:tx>
            <c:strRef>
              <c:f>pivots!$J$48</c:f>
              <c:strCache>
                <c:ptCount val="1"/>
                <c:pt idx="0">
                  <c:v>sel.amount</c:v>
                </c:pt>
              </c:strCache>
            </c:strRef>
          </c:tx>
          <c:spPr>
            <a:gradFill>
              <a:gsLst>
                <a:gs pos="2000">
                  <a:schemeClr val="accent6"/>
                </a:gs>
                <a:gs pos="97000">
                  <a:schemeClr val="accent6">
                    <a:alpha val="96000"/>
                    <a:lumMod val="70000"/>
                  </a:schemeClr>
                </a:gs>
              </a:gsLst>
              <a:path path="circle">
                <a:fillToRect l="50000" t="50000" r="50000" b="50000"/>
              </a:path>
            </a:gradFill>
            <a:ln>
              <a:noFill/>
            </a:ln>
            <a:effectLst/>
          </c:spPr>
          <c:invertIfNegative val="0"/>
          <c:val>
            <c:numRef>
              <c:f>pivots!$J$49:$J$53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C22C-43FE-AED0-919A17BBAF6E}"/>
            </c:ext>
          </c:extLst>
        </c:ser>
        <c:dLbls>
          <c:showLegendKey val="0"/>
          <c:showVal val="0"/>
          <c:showCatName val="0"/>
          <c:showSerName val="0"/>
          <c:showPercent val="0"/>
          <c:showBubbleSize val="0"/>
        </c:dLbls>
        <c:gapWidth val="25"/>
        <c:overlap val="100"/>
        <c:axId val="87380783"/>
        <c:axId val="87378863"/>
      </c:barChart>
      <c:catAx>
        <c:axId val="87380783"/>
        <c:scaling>
          <c:orientation val="maxMin"/>
        </c:scaling>
        <c:delete val="1"/>
        <c:axPos val="l"/>
        <c:numFmt formatCode="General" sourceLinked="1"/>
        <c:majorTickMark val="out"/>
        <c:minorTickMark val="none"/>
        <c:tickLblPos val="nextTo"/>
        <c:crossAx val="87378863"/>
        <c:crosses val="autoZero"/>
        <c:auto val="1"/>
        <c:lblAlgn val="ctr"/>
        <c:lblOffset val="100"/>
        <c:noMultiLvlLbl val="0"/>
      </c:catAx>
      <c:valAx>
        <c:axId val="87378863"/>
        <c:scaling>
          <c:orientation val="minMax"/>
        </c:scaling>
        <c:delete val="1"/>
        <c:axPos val="t"/>
        <c:numFmt formatCode="\$#,###.0,&quot;k&quot;" sourceLinked="1"/>
        <c:majorTickMark val="out"/>
        <c:minorTickMark val="none"/>
        <c:tickLblPos val="nextTo"/>
        <c:crossAx val="873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project.xlsx]pivots!PivotTable8</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pivots!$F$63:$F$64</c:f>
              <c:strCache>
                <c:ptCount val="1"/>
                <c:pt idx="0">
                  <c:v>Female</c:v>
                </c:pt>
              </c:strCache>
            </c:strRef>
          </c:tx>
          <c:spPr>
            <a:solidFill>
              <a:schemeClr val="accent1"/>
            </a:solidFill>
            <a:ln>
              <a:noFill/>
            </a:ln>
            <a:effectLst/>
          </c:spPr>
          <c:invertIfNegative val="0"/>
          <c:cat>
            <c:strRef>
              <c:f>pivots!$E$65:$E$68</c:f>
              <c:strCache>
                <c:ptCount val="3"/>
                <c:pt idx="0">
                  <c:v>Cincinnati</c:v>
                </c:pt>
                <c:pt idx="1">
                  <c:v>Cleveland</c:v>
                </c:pt>
                <c:pt idx="2">
                  <c:v>Columbus</c:v>
                </c:pt>
              </c:strCache>
            </c:strRef>
          </c:cat>
          <c:val>
            <c:numRef>
              <c:f>pivots!$F$65:$F$68</c:f>
              <c:numCache>
                <c:formatCode>#,##0</c:formatCode>
                <c:ptCount val="3"/>
                <c:pt idx="0">
                  <c:v>144</c:v>
                </c:pt>
                <c:pt idx="1">
                  <c:v>326</c:v>
                </c:pt>
                <c:pt idx="2">
                  <c:v>129</c:v>
                </c:pt>
              </c:numCache>
            </c:numRef>
          </c:val>
          <c:extLst>
            <c:ext xmlns:c16="http://schemas.microsoft.com/office/drawing/2014/chart" uri="{C3380CC4-5D6E-409C-BE32-E72D297353CC}">
              <c16:uniqueId val="{00000000-4DC5-4963-910C-87820DFD43E0}"/>
            </c:ext>
          </c:extLst>
        </c:ser>
        <c:ser>
          <c:idx val="1"/>
          <c:order val="1"/>
          <c:tx>
            <c:strRef>
              <c:f>pivots!$G$63:$G$64</c:f>
              <c:strCache>
                <c:ptCount val="1"/>
                <c:pt idx="0">
                  <c:v>Male</c:v>
                </c:pt>
              </c:strCache>
            </c:strRef>
          </c:tx>
          <c:spPr>
            <a:solidFill>
              <a:schemeClr val="accent2"/>
            </a:solidFill>
            <a:ln>
              <a:noFill/>
            </a:ln>
            <a:effectLst/>
          </c:spPr>
          <c:invertIfNegative val="0"/>
          <c:cat>
            <c:strRef>
              <c:f>pivots!$E$65:$E$68</c:f>
              <c:strCache>
                <c:ptCount val="3"/>
                <c:pt idx="0">
                  <c:v>Cincinnati</c:v>
                </c:pt>
                <c:pt idx="1">
                  <c:v>Cleveland</c:v>
                </c:pt>
                <c:pt idx="2">
                  <c:v>Columbus</c:v>
                </c:pt>
              </c:strCache>
            </c:strRef>
          </c:cat>
          <c:val>
            <c:numRef>
              <c:f>pivots!$G$65:$G$68</c:f>
              <c:numCache>
                <c:formatCode>#,##0</c:formatCode>
                <c:ptCount val="3"/>
                <c:pt idx="0">
                  <c:v>132</c:v>
                </c:pt>
                <c:pt idx="1">
                  <c:v>63</c:v>
                </c:pt>
                <c:pt idx="2">
                  <c:v>206</c:v>
                </c:pt>
              </c:numCache>
            </c:numRef>
          </c:val>
          <c:extLst>
            <c:ext xmlns:c16="http://schemas.microsoft.com/office/drawing/2014/chart" uri="{C3380CC4-5D6E-409C-BE32-E72D297353CC}">
              <c16:uniqueId val="{00000001-4DC5-4963-910C-87820DFD43E0}"/>
            </c:ext>
          </c:extLst>
        </c:ser>
        <c:dLbls>
          <c:showLegendKey val="0"/>
          <c:showVal val="0"/>
          <c:showCatName val="0"/>
          <c:showSerName val="0"/>
          <c:showPercent val="0"/>
          <c:showBubbleSize val="0"/>
        </c:dLbls>
        <c:gapWidth val="150"/>
        <c:overlap val="100"/>
        <c:axId val="95077807"/>
        <c:axId val="95090767"/>
      </c:barChart>
      <c:catAx>
        <c:axId val="9507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0767"/>
        <c:crosses val="autoZero"/>
        <c:auto val="1"/>
        <c:lblAlgn val="ctr"/>
        <c:lblOffset val="100"/>
        <c:noMultiLvlLbl val="0"/>
      </c:catAx>
      <c:valAx>
        <c:axId val="950907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project.xlsx]pivots!rep satisfaction</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pivots!$B$73</c:f>
              <c:strCache>
                <c:ptCount val="1"/>
                <c:pt idx="0">
                  <c:v>Total</c:v>
                </c:pt>
              </c:strCache>
            </c:strRef>
          </c:tx>
          <c:spPr>
            <a:solidFill>
              <a:schemeClr val="accent1"/>
            </a:solidFill>
            <a:ln>
              <a:noFill/>
            </a:ln>
            <a:effectLst/>
          </c:spPr>
          <c:invertIfNegative val="0"/>
          <c:cat>
            <c:strRef>
              <c:f>pivots!$A$74:$A$80</c:f>
              <c:strCache>
                <c:ptCount val="6"/>
                <c:pt idx="0">
                  <c:v>0</c:v>
                </c:pt>
                <c:pt idx="1">
                  <c:v>1</c:v>
                </c:pt>
                <c:pt idx="2">
                  <c:v>2</c:v>
                </c:pt>
                <c:pt idx="3">
                  <c:v>3</c:v>
                </c:pt>
                <c:pt idx="4">
                  <c:v>4</c:v>
                </c:pt>
                <c:pt idx="5">
                  <c:v>5</c:v>
                </c:pt>
              </c:strCache>
            </c:strRef>
          </c:cat>
          <c:val>
            <c:numRef>
              <c:f>pivots!$B$74:$B$80</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806E-4176-82C9-3D4C0562A9DE}"/>
            </c:ext>
          </c:extLst>
        </c:ser>
        <c:dLbls>
          <c:showLegendKey val="0"/>
          <c:showVal val="0"/>
          <c:showCatName val="0"/>
          <c:showSerName val="0"/>
          <c:showPercent val="0"/>
          <c:showBubbleSize val="0"/>
        </c:dLbls>
        <c:gapWidth val="219"/>
        <c:overlap val="-27"/>
        <c:axId val="1889335056"/>
        <c:axId val="1889332176"/>
      </c:barChart>
      <c:catAx>
        <c:axId val="188933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32176"/>
        <c:crosses val="autoZero"/>
        <c:auto val="1"/>
        <c:lblAlgn val="ctr"/>
        <c:lblOffset val="100"/>
        <c:noMultiLvlLbl val="0"/>
      </c:catAx>
      <c:valAx>
        <c:axId val="18893321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35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project.xlsx]pivots!weekly trend</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pivots!$B$36</c:f>
              <c:strCache>
                <c:ptCount val="1"/>
                <c:pt idx="0">
                  <c:v>Total</c:v>
                </c:pt>
              </c:strCache>
            </c:strRef>
          </c:tx>
          <c:spPr>
            <a:solidFill>
              <a:schemeClr val="accent5"/>
            </a:soli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pivots!$A$37:$A$44</c:f>
              <c:strCache>
                <c:ptCount val="7"/>
                <c:pt idx="0">
                  <c:v>Saturday</c:v>
                </c:pt>
                <c:pt idx="1">
                  <c:v>Friday</c:v>
                </c:pt>
                <c:pt idx="2">
                  <c:v>Thursday</c:v>
                </c:pt>
                <c:pt idx="3">
                  <c:v>Wednesday</c:v>
                </c:pt>
                <c:pt idx="4">
                  <c:v>Tuesday</c:v>
                </c:pt>
                <c:pt idx="5">
                  <c:v>Monday</c:v>
                </c:pt>
                <c:pt idx="6">
                  <c:v>Sunday</c:v>
                </c:pt>
              </c:strCache>
            </c:strRef>
          </c:cat>
          <c:val>
            <c:numRef>
              <c:f>pivots!$B$37:$B$44</c:f>
              <c:numCache>
                <c:formatCode>#,##0</c:formatCode>
                <c:ptCount val="7"/>
                <c:pt idx="0">
                  <c:v>161</c:v>
                </c:pt>
                <c:pt idx="1">
                  <c:v>141</c:v>
                </c:pt>
                <c:pt idx="2">
                  <c:v>128</c:v>
                </c:pt>
                <c:pt idx="3">
                  <c:v>153</c:v>
                </c:pt>
                <c:pt idx="4">
                  <c:v>138</c:v>
                </c:pt>
                <c:pt idx="5">
                  <c:v>133</c:v>
                </c:pt>
                <c:pt idx="6">
                  <c:v>146</c:v>
                </c:pt>
              </c:numCache>
            </c:numRef>
          </c:val>
          <c:extLst>
            <c:ext xmlns:c16="http://schemas.microsoft.com/office/drawing/2014/chart" uri="{C3380CC4-5D6E-409C-BE32-E72D297353CC}">
              <c16:uniqueId val="{00000000-89AC-4308-A2F3-A98627D5A8DC}"/>
            </c:ext>
          </c:extLst>
        </c:ser>
        <c:dLbls>
          <c:dLblPos val="outEnd"/>
          <c:showLegendKey val="0"/>
          <c:showVal val="1"/>
          <c:showCatName val="0"/>
          <c:showSerName val="0"/>
          <c:showPercent val="0"/>
          <c:showBubbleSize val="0"/>
        </c:dLbls>
        <c:gapWidth val="25"/>
        <c:axId val="1581419632"/>
        <c:axId val="77568703"/>
      </c:barChart>
      <c:catAx>
        <c:axId val="1581419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68703"/>
        <c:crosses val="autoZero"/>
        <c:auto val="1"/>
        <c:lblAlgn val="ctr"/>
        <c:lblOffset val="100"/>
        <c:noMultiLvlLbl val="0"/>
      </c:catAx>
      <c:valAx>
        <c:axId val="77568703"/>
        <c:scaling>
          <c:orientation val="minMax"/>
        </c:scaling>
        <c:delete val="1"/>
        <c:axPos val="b"/>
        <c:numFmt formatCode="#,##0" sourceLinked="1"/>
        <c:majorTickMark val="none"/>
        <c:minorTickMark val="none"/>
        <c:tickLblPos val="nextTo"/>
        <c:crossAx val="1581419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project.xlsx]pivots!monthly trend</c:name>
    <c:fmtId val="8"/>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Arial Black" panose="020B0A04020102020204" pitchFamily="34" charset="0"/>
              </a:rPr>
              <a:t>Call Trend</a:t>
            </a:r>
          </a:p>
        </c:rich>
      </c:tx>
      <c:layout>
        <c:manualLayout>
          <c:xMode val="edge"/>
          <c:yMode val="edge"/>
          <c:x val="3.0780780780780781E-2"/>
          <c:y val="3.7735849056603772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40000"/>
                  <a:lumOff val="60000"/>
                  <a:alpha val="50000"/>
                </a:schemeClr>
              </a:gs>
              <a:gs pos="97000">
                <a:schemeClr val="accent5"/>
              </a:gs>
            </a:gsLst>
            <a:lin ang="16200000" scaled="1"/>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lin ang="27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pivots!$C$20</c:f>
              <c:strCache>
                <c:ptCount val="1"/>
                <c:pt idx="0">
                  <c:v>count calls2</c:v>
                </c:pt>
              </c:strCache>
            </c:strRef>
          </c:tx>
          <c:spPr>
            <a:gradFill flip="none" rotWithShape="1">
              <a:gsLst>
                <a:gs pos="0">
                  <a:schemeClr val="accent6">
                    <a:lumMod val="40000"/>
                    <a:lumOff val="60000"/>
                    <a:alpha val="50000"/>
                  </a:schemeClr>
                </a:gs>
                <a:gs pos="97000">
                  <a:schemeClr val="accent5"/>
                </a:gs>
              </a:gsLst>
              <a:lin ang="16200000" scaled="1"/>
              <a:tileRect/>
            </a:gradFill>
            <a:ln>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lin ang="2700000" scaled="1"/>
                <a:tileRect/>
              </a:gradFill>
            </a:ln>
            <a:effectLst/>
          </c:spP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pivots!$C$21:$C$33</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0-C0DE-452A-A2A8-AAB41D15FDFB}"/>
            </c:ext>
          </c:extLst>
        </c:ser>
        <c:dLbls>
          <c:showLegendKey val="0"/>
          <c:showVal val="0"/>
          <c:showCatName val="0"/>
          <c:showSerName val="0"/>
          <c:showPercent val="0"/>
          <c:showBubbleSize val="0"/>
        </c:dLbls>
        <c:axId val="1963511536"/>
        <c:axId val="1963509136"/>
      </c:areaChart>
      <c:lineChart>
        <c:grouping val="standard"/>
        <c:varyColors val="0"/>
        <c:ser>
          <c:idx val="0"/>
          <c:order val="0"/>
          <c:tx>
            <c:strRef>
              <c:f>pivots!$B$20</c:f>
              <c:strCache>
                <c:ptCount val="1"/>
                <c:pt idx="0">
                  <c:v>count calls</c:v>
                </c:pt>
              </c:strCache>
            </c:strRef>
          </c:tx>
          <c:spPr>
            <a:ln w="28575" cap="rnd">
              <a:solidFill>
                <a:schemeClr val="accent6"/>
              </a:solidFill>
              <a:round/>
            </a:ln>
            <a:effectLst/>
          </c:spPr>
          <c:marker>
            <c:symbol val="circle"/>
            <c:size val="7"/>
            <c:spPr>
              <a:solidFill>
                <a:schemeClr val="bg1">
                  <a:lumMod val="95000"/>
                </a:schemeClr>
              </a:solidFill>
              <a:ln w="25400">
                <a:solidFill>
                  <a:schemeClr val="tx1"/>
                </a:solidFill>
              </a:ln>
              <a:effectLst/>
            </c:spPr>
          </c:marker>
          <c:cat>
            <c:strRef>
              <c:f>pivots!$A$21:$A$33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pivots!$B$21:$B$33</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C0DE-452A-A2A8-AAB41D15FDFB}"/>
            </c:ext>
          </c:extLst>
        </c:ser>
        <c:dLbls>
          <c:showLegendKey val="0"/>
          <c:showVal val="0"/>
          <c:showCatName val="0"/>
          <c:showSerName val="0"/>
          <c:showPercent val="0"/>
          <c:showBubbleSize val="0"/>
        </c:dLbls>
        <c:marker val="1"/>
        <c:smooth val="0"/>
        <c:axId val="1963511536"/>
        <c:axId val="1963509136"/>
      </c:lineChart>
      <c:catAx>
        <c:axId val="196351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09136"/>
        <c:crosses val="autoZero"/>
        <c:auto val="1"/>
        <c:lblAlgn val="ctr"/>
        <c:lblOffset val="100"/>
        <c:noMultiLvlLbl val="0"/>
      </c:catAx>
      <c:valAx>
        <c:axId val="19635091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51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accent6"/>
                </a:solidFill>
                <a:latin typeface="+mn-lt"/>
                <a:ea typeface="+mn-ea"/>
                <a:cs typeface="+mn-cs"/>
              </a:defRPr>
            </a:pPr>
            <a:r>
              <a:rPr lang="en-IN" sz="1600" b="1">
                <a:solidFill>
                  <a:schemeClr val="accent6"/>
                </a:solidFill>
                <a:latin typeface="Arial Black" panose="020B0A04020102020204" pitchFamily="34" charset="0"/>
              </a:rPr>
              <a:t>Amount</a:t>
            </a:r>
          </a:p>
        </c:rich>
      </c:tx>
      <c:layout>
        <c:manualLayout>
          <c:xMode val="edge"/>
          <c:yMode val="edge"/>
          <c:x val="4.4573643410852702E-2"/>
          <c:y val="3.427592116538132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6"/>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pivots!$F$49:$F$53</c:f>
              <c:strCache>
                <c:ptCount val="5"/>
                <c:pt idx="0">
                  <c:v>R01</c:v>
                </c:pt>
                <c:pt idx="1">
                  <c:v>R02</c:v>
                </c:pt>
                <c:pt idx="2">
                  <c:v>R03</c:v>
                </c:pt>
                <c:pt idx="3">
                  <c:v>R04</c:v>
                </c:pt>
                <c:pt idx="4">
                  <c:v>R05</c:v>
                </c:pt>
              </c:strCache>
            </c:strRef>
          </c:cat>
          <c:val>
            <c:numRef>
              <c:f>pivots!$H$49:$H$53</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597E-479B-9E86-DBA134441531}"/>
            </c:ext>
          </c:extLst>
        </c:ser>
        <c:ser>
          <c:idx val="1"/>
          <c:order val="1"/>
          <c:tx>
            <c:strRef>
              <c:f>pivots!$J$48</c:f>
              <c:strCache>
                <c:ptCount val="1"/>
                <c:pt idx="0">
                  <c:v>sel.amount</c:v>
                </c:pt>
              </c:strCache>
            </c:strRef>
          </c:tx>
          <c:spPr>
            <a:gradFill>
              <a:gsLst>
                <a:gs pos="2000">
                  <a:schemeClr val="accent6"/>
                </a:gs>
                <a:gs pos="97000">
                  <a:schemeClr val="accent6">
                    <a:alpha val="96000"/>
                    <a:lumMod val="70000"/>
                  </a:schemeClr>
                </a:gs>
              </a:gsLst>
              <a:path path="circle">
                <a:fillToRect l="50000" t="50000" r="50000" b="50000"/>
              </a:path>
            </a:gradFill>
            <a:ln>
              <a:noFill/>
            </a:ln>
            <a:effectLst/>
          </c:spPr>
          <c:invertIfNegative val="0"/>
          <c:val>
            <c:numRef>
              <c:f>pivots!$J$49:$J$53</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597E-479B-9E86-DBA134441531}"/>
            </c:ext>
          </c:extLst>
        </c:ser>
        <c:dLbls>
          <c:showLegendKey val="0"/>
          <c:showVal val="0"/>
          <c:showCatName val="0"/>
          <c:showSerName val="0"/>
          <c:showPercent val="0"/>
          <c:showBubbleSize val="0"/>
        </c:dLbls>
        <c:gapWidth val="25"/>
        <c:overlap val="100"/>
        <c:axId val="87380783"/>
        <c:axId val="87378863"/>
      </c:barChart>
      <c:catAx>
        <c:axId val="87380783"/>
        <c:scaling>
          <c:orientation val="maxMin"/>
        </c:scaling>
        <c:delete val="1"/>
        <c:axPos val="l"/>
        <c:numFmt formatCode="General" sourceLinked="1"/>
        <c:majorTickMark val="out"/>
        <c:minorTickMark val="none"/>
        <c:tickLblPos val="nextTo"/>
        <c:crossAx val="87378863"/>
        <c:crosses val="autoZero"/>
        <c:auto val="1"/>
        <c:lblAlgn val="ctr"/>
        <c:lblOffset val="100"/>
        <c:noMultiLvlLbl val="0"/>
      </c:catAx>
      <c:valAx>
        <c:axId val="87378863"/>
        <c:scaling>
          <c:orientation val="minMax"/>
        </c:scaling>
        <c:delete val="1"/>
        <c:axPos val="t"/>
        <c:numFmt formatCode="\$#,###.0,&quot;k&quot;" sourceLinked="1"/>
        <c:majorTickMark val="out"/>
        <c:minorTickMark val="none"/>
        <c:tickLblPos val="nextTo"/>
        <c:crossAx val="873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accent5"/>
                </a:solidFill>
                <a:latin typeface="+mn-lt"/>
                <a:ea typeface="+mn-ea"/>
                <a:cs typeface="+mn-cs"/>
              </a:defRPr>
            </a:pPr>
            <a:r>
              <a:rPr lang="en-IN" sz="1600" b="1">
                <a:solidFill>
                  <a:schemeClr val="accent5"/>
                </a:solidFill>
                <a:latin typeface="Arial Black" panose="020B0A04020102020204" pitchFamily="34" charset="0"/>
              </a:rPr>
              <a:t>Calls</a:t>
            </a:r>
          </a:p>
        </c:rich>
      </c:tx>
      <c:layout>
        <c:manualLayout>
          <c:xMode val="edge"/>
          <c:yMode val="edge"/>
          <c:x val="4.1917670682730897E-2"/>
          <c:y val="4.712939160239931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5"/>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pivots!$F$49:$F$53</c:f>
              <c:strCache>
                <c:ptCount val="5"/>
                <c:pt idx="0">
                  <c:v>R01</c:v>
                </c:pt>
                <c:pt idx="1">
                  <c:v>R02</c:v>
                </c:pt>
                <c:pt idx="2">
                  <c:v>R03</c:v>
                </c:pt>
                <c:pt idx="3">
                  <c:v>R04</c:v>
                </c:pt>
                <c:pt idx="4">
                  <c:v>R05</c:v>
                </c:pt>
              </c:strCache>
            </c:strRef>
          </c:cat>
          <c:val>
            <c:numRef>
              <c:f>pivots!$G$49:$G$53</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E32-4DAB-A37D-568B519FA218}"/>
            </c:ext>
          </c:extLst>
        </c:ser>
        <c:ser>
          <c:idx val="1"/>
          <c:order val="1"/>
          <c:tx>
            <c:strRef>
              <c:f>pivots!$I$48</c:f>
              <c:strCache>
                <c:ptCount val="1"/>
                <c:pt idx="0">
                  <c:v>sel.calls</c:v>
                </c:pt>
              </c:strCache>
            </c:strRef>
          </c:tx>
          <c:spPr>
            <a:gradFill>
              <a:gsLst>
                <a:gs pos="2000">
                  <a:schemeClr val="accent6">
                    <a:lumMod val="95000"/>
                    <a:alpha val="95000"/>
                  </a:schemeClr>
                </a:gs>
                <a:gs pos="97000">
                  <a:schemeClr val="accent5"/>
                </a:gs>
              </a:gsLst>
              <a:path path="circle">
                <a:fillToRect l="50000" t="50000" r="50000" b="50000"/>
              </a:path>
            </a:gradFill>
            <a:ln>
              <a:noFill/>
            </a:ln>
            <a:effectLst/>
          </c:spPr>
          <c:invertIfNegative val="0"/>
          <c:val>
            <c:numRef>
              <c:f>pivots!$I$49:$I$53</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1E32-4DAB-A37D-568B519FA218}"/>
            </c:ext>
          </c:extLst>
        </c:ser>
        <c:dLbls>
          <c:showLegendKey val="0"/>
          <c:showVal val="0"/>
          <c:showCatName val="0"/>
          <c:showSerName val="0"/>
          <c:showPercent val="0"/>
          <c:showBubbleSize val="0"/>
        </c:dLbls>
        <c:gapWidth val="25"/>
        <c:overlap val="100"/>
        <c:axId val="87380783"/>
        <c:axId val="87378863"/>
      </c:barChart>
      <c:catAx>
        <c:axId val="87380783"/>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78863"/>
        <c:crosses val="autoZero"/>
        <c:auto val="1"/>
        <c:lblAlgn val="ctr"/>
        <c:lblOffset val="100"/>
        <c:noMultiLvlLbl val="0"/>
      </c:catAx>
      <c:valAx>
        <c:axId val="87378863"/>
        <c:scaling>
          <c:orientation val="minMax"/>
          <c:max val="230"/>
          <c:min val="0"/>
        </c:scaling>
        <c:delete val="1"/>
        <c:axPos val="t"/>
        <c:numFmt formatCode="General" sourceLinked="1"/>
        <c:majorTickMark val="out"/>
        <c:minorTickMark val="none"/>
        <c:tickLblPos val="nextTo"/>
        <c:crossAx val="8738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project.xlsx]pivots!PivotTable8</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000">
                <a:solidFill>
                  <a:schemeClr val="accent5"/>
                </a:solidFill>
                <a:latin typeface="Arial Black" panose="020B0A04020102020204" pitchFamily="34" charset="0"/>
              </a:rPr>
              <a:t>Female</a:t>
            </a:r>
            <a:r>
              <a:rPr lang="en-IN" sz="1000" baseline="0">
                <a:latin typeface="Arial Black" panose="020B0A04020102020204" pitchFamily="34" charset="0"/>
              </a:rPr>
              <a:t> VS </a:t>
            </a:r>
            <a:r>
              <a:rPr lang="en-IN" sz="1000" baseline="0">
                <a:solidFill>
                  <a:schemeClr val="accent6"/>
                </a:solidFill>
                <a:latin typeface="Arial Black" panose="020B0A04020102020204" pitchFamily="34" charset="0"/>
              </a:rPr>
              <a:t>Male</a:t>
            </a:r>
            <a:r>
              <a:rPr lang="en-IN" sz="1000" baseline="0">
                <a:latin typeface="Arial Black" panose="020B0A04020102020204" pitchFamily="34" charset="0"/>
              </a:rPr>
              <a:t> Callers</a:t>
            </a:r>
            <a:endParaRPr lang="en-IN" sz="1000">
              <a:latin typeface="Arial Black" panose="020B0A04020102020204" pitchFamily="34" charset="0"/>
            </a:endParaRPr>
          </a:p>
        </c:rich>
      </c:tx>
      <c:layout>
        <c:manualLayout>
          <c:xMode val="edge"/>
          <c:yMode val="edge"/>
          <c:x val="0.10495029584716546"/>
          <c:y val="6.790123456790123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6"/>
          </a:solidFill>
          <a:ln>
            <a:noFill/>
          </a:ln>
          <a:effectLst/>
        </c:spPr>
        <c:marker>
          <c:symbol val="none"/>
        </c:marker>
        <c:dLbl>
          <c:idx val="0"/>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pivots!$F$63:$F$64</c:f>
              <c:strCache>
                <c:ptCount val="1"/>
                <c:pt idx="0">
                  <c:v>Female</c:v>
                </c:pt>
              </c:strCache>
            </c:strRef>
          </c:tx>
          <c:spPr>
            <a:solidFill>
              <a:schemeClr val="accent5"/>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pivots!$E$65:$E$68</c:f>
              <c:strCache>
                <c:ptCount val="3"/>
                <c:pt idx="0">
                  <c:v>Cincinnati</c:v>
                </c:pt>
                <c:pt idx="1">
                  <c:v>Cleveland</c:v>
                </c:pt>
                <c:pt idx="2">
                  <c:v>Columbus</c:v>
                </c:pt>
              </c:strCache>
            </c:strRef>
          </c:cat>
          <c:val>
            <c:numRef>
              <c:f>pivots!$F$65:$F$68</c:f>
              <c:numCache>
                <c:formatCode>#,##0</c:formatCode>
                <c:ptCount val="3"/>
                <c:pt idx="0">
                  <c:v>144</c:v>
                </c:pt>
                <c:pt idx="1">
                  <c:v>326</c:v>
                </c:pt>
                <c:pt idx="2">
                  <c:v>129</c:v>
                </c:pt>
              </c:numCache>
            </c:numRef>
          </c:val>
          <c:extLst>
            <c:ext xmlns:c16="http://schemas.microsoft.com/office/drawing/2014/chart" uri="{C3380CC4-5D6E-409C-BE32-E72D297353CC}">
              <c16:uniqueId val="{00000000-4DC5-4963-910C-87820DFD43E0}"/>
            </c:ext>
          </c:extLst>
        </c:ser>
        <c:ser>
          <c:idx val="1"/>
          <c:order val="1"/>
          <c:tx>
            <c:strRef>
              <c:f>pivots!$G$63:$G$64</c:f>
              <c:strCache>
                <c:ptCount val="1"/>
                <c:pt idx="0">
                  <c:v>Male</c:v>
                </c:pt>
              </c:strCache>
            </c:strRef>
          </c:tx>
          <c:spPr>
            <a:solidFill>
              <a:schemeClr val="accent6"/>
            </a:solidFill>
            <a:ln>
              <a:noFill/>
            </a:ln>
            <a:effectLst/>
          </c:spPr>
          <c:invertIfNegative val="0"/>
          <c:dLbls>
            <c:spPr>
              <a:solidFill>
                <a:schemeClr val="bg1">
                  <a:lumMod val="8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pivots!$E$65:$E$68</c:f>
              <c:strCache>
                <c:ptCount val="3"/>
                <c:pt idx="0">
                  <c:v>Cincinnati</c:v>
                </c:pt>
                <c:pt idx="1">
                  <c:v>Cleveland</c:v>
                </c:pt>
                <c:pt idx="2">
                  <c:v>Columbus</c:v>
                </c:pt>
              </c:strCache>
            </c:strRef>
          </c:cat>
          <c:val>
            <c:numRef>
              <c:f>pivots!$G$65:$G$68</c:f>
              <c:numCache>
                <c:formatCode>#,##0</c:formatCode>
                <c:ptCount val="3"/>
                <c:pt idx="0">
                  <c:v>132</c:v>
                </c:pt>
                <c:pt idx="1">
                  <c:v>63</c:v>
                </c:pt>
                <c:pt idx="2">
                  <c:v>206</c:v>
                </c:pt>
              </c:numCache>
            </c:numRef>
          </c:val>
          <c:extLst>
            <c:ext xmlns:c16="http://schemas.microsoft.com/office/drawing/2014/chart" uri="{C3380CC4-5D6E-409C-BE32-E72D297353CC}">
              <c16:uniqueId val="{00000001-4DC5-4963-910C-87820DFD43E0}"/>
            </c:ext>
          </c:extLst>
        </c:ser>
        <c:dLbls>
          <c:dLblPos val="ctr"/>
          <c:showLegendKey val="0"/>
          <c:showVal val="1"/>
          <c:showCatName val="0"/>
          <c:showSerName val="0"/>
          <c:showPercent val="0"/>
          <c:showBubbleSize val="0"/>
        </c:dLbls>
        <c:gapWidth val="25"/>
        <c:overlap val="100"/>
        <c:axId val="95077807"/>
        <c:axId val="95090767"/>
      </c:barChart>
      <c:catAx>
        <c:axId val="9507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90767"/>
        <c:crosses val="autoZero"/>
        <c:auto val="1"/>
        <c:lblAlgn val="ctr"/>
        <c:lblOffset val="100"/>
        <c:noMultiLvlLbl val="0"/>
      </c:catAx>
      <c:valAx>
        <c:axId val="95090767"/>
        <c:scaling>
          <c:orientation val="minMax"/>
        </c:scaling>
        <c:delete val="1"/>
        <c:axPos val="l"/>
        <c:numFmt formatCode="0%" sourceLinked="1"/>
        <c:majorTickMark val="none"/>
        <c:minorTickMark val="none"/>
        <c:tickLblPos val="nextTo"/>
        <c:crossAx val="9507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 st excel portfolio project.xlsx]pivots!rep satisfaction</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Arial Black" panose="020B0A04020102020204" pitchFamily="34" charset="0"/>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pivots!$B$73</c:f>
              <c:strCache>
                <c:ptCount val="1"/>
                <c:pt idx="0">
                  <c:v>Total</c:v>
                </c:pt>
              </c:strCache>
            </c:strRef>
          </c:tx>
          <c:spPr>
            <a:solidFill>
              <a:schemeClr val="accent6"/>
            </a:solidFill>
            <a:ln>
              <a:noFill/>
            </a:ln>
            <a:effectLst/>
          </c:spPr>
          <c:invertIfNegative val="0"/>
          <c:cat>
            <c:strRef>
              <c:f>pivots!$A$74:$A$80</c:f>
              <c:strCache>
                <c:ptCount val="6"/>
                <c:pt idx="0">
                  <c:v>0</c:v>
                </c:pt>
                <c:pt idx="1">
                  <c:v>1</c:v>
                </c:pt>
                <c:pt idx="2">
                  <c:v>2</c:v>
                </c:pt>
                <c:pt idx="3">
                  <c:v>3</c:v>
                </c:pt>
                <c:pt idx="4">
                  <c:v>4</c:v>
                </c:pt>
                <c:pt idx="5">
                  <c:v>5</c:v>
                </c:pt>
              </c:strCache>
            </c:strRef>
          </c:cat>
          <c:val>
            <c:numRef>
              <c:f>pivots!$B$74:$B$80</c:f>
              <c:numCache>
                <c:formatCode>#,##0</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98DA-45CA-9097-594662920E15}"/>
            </c:ext>
          </c:extLst>
        </c:ser>
        <c:dLbls>
          <c:showLegendKey val="0"/>
          <c:showVal val="0"/>
          <c:showCatName val="0"/>
          <c:showSerName val="0"/>
          <c:showPercent val="0"/>
          <c:showBubbleSize val="0"/>
        </c:dLbls>
        <c:gapWidth val="10"/>
        <c:overlap val="-27"/>
        <c:axId val="1889335056"/>
        <c:axId val="1889332176"/>
      </c:barChart>
      <c:catAx>
        <c:axId val="188933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32176"/>
        <c:crosses val="autoZero"/>
        <c:auto val="1"/>
        <c:lblAlgn val="ctr"/>
        <c:lblOffset val="100"/>
        <c:noMultiLvlLbl val="0"/>
      </c:catAx>
      <c:valAx>
        <c:axId val="18893321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3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9.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8.xml"/><Relationship Id="rId2" Type="http://schemas.openxmlformats.org/officeDocument/2006/relationships/image" Target="../media/image1.png"/><Relationship Id="rId16"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11.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5</xdr:col>
      <xdr:colOff>320040</xdr:colOff>
      <xdr:row>1</xdr:row>
      <xdr:rowOff>15240</xdr:rowOff>
    </xdr:from>
    <xdr:to>
      <xdr:col>8</xdr:col>
      <xdr:colOff>45720</xdr:colOff>
      <xdr:row>15</xdr:row>
      <xdr:rowOff>36195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FCF11CF0-6D63-CE1E-F4B7-91F7D388BE4F}"/>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030980" y="1981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441960</xdr:colOff>
      <xdr:row>19</xdr:row>
      <xdr:rowOff>7620</xdr:rowOff>
    </xdr:from>
    <xdr:to>
      <xdr:col>11</xdr:col>
      <xdr:colOff>297180</xdr:colOff>
      <xdr:row>33</xdr:row>
      <xdr:rowOff>38100</xdr:rowOff>
    </xdr:to>
    <xdr:graphicFrame macro="">
      <xdr:nvGraphicFramePr>
        <xdr:cNvPr id="3" name="Chart 2">
          <a:extLst>
            <a:ext uri="{FF2B5EF4-FFF2-40B4-BE49-F238E27FC236}">
              <a16:creationId xmlns:a16="http://schemas.microsoft.com/office/drawing/2014/main" id="{C33C3A0A-D516-E514-5A80-FA7793080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144780</xdr:colOff>
      <xdr:row>33</xdr:row>
      <xdr:rowOff>64770</xdr:rowOff>
    </xdr:from>
    <xdr:to>
      <xdr:col>9</xdr:col>
      <xdr:colOff>411480</xdr:colOff>
      <xdr:row>45</xdr:row>
      <xdr:rowOff>76200</xdr:rowOff>
    </xdr:to>
    <xdr:graphicFrame macro="">
      <xdr:nvGraphicFramePr>
        <xdr:cNvPr id="4" name="Chart 3">
          <a:extLst>
            <a:ext uri="{FF2B5EF4-FFF2-40B4-BE49-F238E27FC236}">
              <a16:creationId xmlns:a16="http://schemas.microsoft.com/office/drawing/2014/main" id="{1B0D456E-E2D4-8CA1-95B2-9FC124D06A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605979</xdr:colOff>
      <xdr:row>44</xdr:row>
      <xdr:rowOff>3810</xdr:rowOff>
    </xdr:from>
    <xdr:to>
      <xdr:col>22</xdr:col>
      <xdr:colOff>498921</xdr:colOff>
      <xdr:row>58</xdr:row>
      <xdr:rowOff>160020</xdr:rowOff>
    </xdr:to>
    <xdr:graphicFrame macro="">
      <xdr:nvGraphicFramePr>
        <xdr:cNvPr id="5" name="Chart 4">
          <a:extLst>
            <a:ext uri="{FF2B5EF4-FFF2-40B4-BE49-F238E27FC236}">
              <a16:creationId xmlns:a16="http://schemas.microsoft.com/office/drawing/2014/main" id="{8B7E099C-2ECF-A6F5-DBDC-9F65980CF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344632</xdr:colOff>
      <xdr:row>44</xdr:row>
      <xdr:rowOff>7620</xdr:rowOff>
    </xdr:from>
    <xdr:to>
      <xdr:col>17</xdr:col>
      <xdr:colOff>531668</xdr:colOff>
      <xdr:row>58</xdr:row>
      <xdr:rowOff>163830</xdr:rowOff>
    </xdr:to>
    <xdr:graphicFrame macro="">
      <xdr:nvGraphicFramePr>
        <xdr:cNvPr id="6" name="Chart 5">
          <a:extLst>
            <a:ext uri="{FF2B5EF4-FFF2-40B4-BE49-F238E27FC236}">
              <a16:creationId xmlns:a16="http://schemas.microsoft.com/office/drawing/2014/main" id="{78C51586-CF69-4206-9985-4BCC3A27B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342900</xdr:colOff>
      <xdr:row>58</xdr:row>
      <xdr:rowOff>163830</xdr:rowOff>
    </xdr:from>
    <xdr:to>
      <xdr:col>15</xdr:col>
      <xdr:colOff>487680</xdr:colOff>
      <xdr:row>69</xdr:row>
      <xdr:rowOff>83820</xdr:rowOff>
    </xdr:to>
    <xdr:graphicFrame macro="">
      <xdr:nvGraphicFramePr>
        <xdr:cNvPr id="8" name="Chart 7">
          <a:extLst>
            <a:ext uri="{FF2B5EF4-FFF2-40B4-BE49-F238E27FC236}">
              <a16:creationId xmlns:a16="http://schemas.microsoft.com/office/drawing/2014/main" id="{4FA9CC5C-D5C1-76D0-0484-41B1425919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548640</xdr:colOff>
      <xdr:row>70</xdr:row>
      <xdr:rowOff>72390</xdr:rowOff>
    </xdr:from>
    <xdr:to>
      <xdr:col>20</xdr:col>
      <xdr:colOff>243840</xdr:colOff>
      <xdr:row>85</xdr:row>
      <xdr:rowOff>72390</xdr:rowOff>
    </xdr:to>
    <xdr:graphicFrame macro="">
      <xdr:nvGraphicFramePr>
        <xdr:cNvPr id="9" name="Chart 8">
          <a:extLst>
            <a:ext uri="{FF2B5EF4-FFF2-40B4-BE49-F238E27FC236}">
              <a16:creationId xmlns:a16="http://schemas.microsoft.com/office/drawing/2014/main" id="{C85F841B-B55F-FC28-5285-EE99C77BD4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411480</xdr:colOff>
      <xdr:row>19</xdr:row>
      <xdr:rowOff>160021</xdr:rowOff>
    </xdr:from>
    <xdr:to>
      <xdr:col>14</xdr:col>
      <xdr:colOff>556260</xdr:colOff>
      <xdr:row>29</xdr:row>
      <xdr:rowOff>121920</xdr:rowOff>
    </xdr:to>
    <mc:AlternateContent xmlns:mc="http://schemas.openxmlformats.org/markup-compatibility/2006" xmlns:a14="http://schemas.microsoft.com/office/drawing/2010/main">
      <mc:Choice Requires="a14">
        <xdr:graphicFrame macro="">
          <xdr:nvGraphicFramePr>
            <xdr:cNvPr id="34" name="Representative 1">
              <a:extLst>
                <a:ext uri="{FF2B5EF4-FFF2-40B4-BE49-F238E27FC236}">
                  <a16:creationId xmlns:a16="http://schemas.microsoft.com/office/drawing/2014/main" id="{128AF01E-3EBD-47F5-9D70-0D83BC29AC1F}"/>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789420" y="3672841"/>
              <a:ext cx="1363980" cy="179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342900</xdr:colOff>
      <xdr:row>16</xdr:row>
      <xdr:rowOff>45720</xdr:rowOff>
    </xdr:from>
    <xdr:to>
      <xdr:col>12</xdr:col>
      <xdr:colOff>335280</xdr:colOff>
      <xdr:row>35</xdr:row>
      <xdr:rowOff>68580</xdr:rowOff>
    </xdr:to>
    <xdr:sp macro="" textlink="">
      <xdr:nvSpPr>
        <xdr:cNvPr id="39" name="Rectangle 38">
          <a:extLst>
            <a:ext uri="{FF2B5EF4-FFF2-40B4-BE49-F238E27FC236}">
              <a16:creationId xmlns:a16="http://schemas.microsoft.com/office/drawing/2014/main" id="{65625706-9536-4E18-FDA2-409C16129BD7}"/>
            </a:ext>
          </a:extLst>
        </xdr:cNvPr>
        <xdr:cNvSpPr/>
      </xdr:nvSpPr>
      <xdr:spPr>
        <a:xfrm>
          <a:off x="1844040" y="2971800"/>
          <a:ext cx="4869180" cy="3535680"/>
        </a:xfrm>
        <a:prstGeom prst="rect">
          <a:avLst/>
        </a:prstGeom>
        <a:solidFill>
          <a:schemeClr val="bg1"/>
        </a:solidFill>
        <a:ln>
          <a:solidFill>
            <a:schemeClr val="bg1">
              <a:lumMod val="95000"/>
            </a:schemeClr>
          </a:solid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274320</xdr:colOff>
      <xdr:row>4</xdr:row>
      <xdr:rowOff>45720</xdr:rowOff>
    </xdr:from>
    <xdr:to>
      <xdr:col>14</xdr:col>
      <xdr:colOff>510540</xdr:colOff>
      <xdr:row>12</xdr:row>
      <xdr:rowOff>106680</xdr:rowOff>
    </xdr:to>
    <xdr:graphicFrame macro="">
      <xdr:nvGraphicFramePr>
        <xdr:cNvPr id="36" name="Chart 35">
          <a:extLst>
            <a:ext uri="{FF2B5EF4-FFF2-40B4-BE49-F238E27FC236}">
              <a16:creationId xmlns:a16="http://schemas.microsoft.com/office/drawing/2014/main" id="{BDB259B9-B5D7-4C13-A213-AA8A15AC8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xdr:colOff>
      <xdr:row>2</xdr:row>
      <xdr:rowOff>160020</xdr:rowOff>
    </xdr:from>
    <xdr:to>
      <xdr:col>4</xdr:col>
      <xdr:colOff>121920</xdr:colOff>
      <xdr:row>7</xdr:row>
      <xdr:rowOff>129540</xdr:rowOff>
    </xdr:to>
    <xdr:sp macro="" textlink="pivots!A4">
      <xdr:nvSpPr>
        <xdr:cNvPr id="2" name="Rectangle 1">
          <a:extLst>
            <a:ext uri="{FF2B5EF4-FFF2-40B4-BE49-F238E27FC236}">
              <a16:creationId xmlns:a16="http://schemas.microsoft.com/office/drawing/2014/main" id="{2CE5ECAF-EED0-F244-0803-E384954B07D3}"/>
            </a:ext>
          </a:extLst>
        </xdr:cNvPr>
        <xdr:cNvSpPr/>
      </xdr:nvSpPr>
      <xdr:spPr>
        <a:xfrm>
          <a:off x="312420" y="525780"/>
          <a:ext cx="131064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EFD1BA9-8217-4F91-97BE-36AEEF48D4B2}" type="TxLink">
            <a:rPr lang="en-US" sz="1600" b="1" i="0" u="none" strike="noStrike">
              <a:solidFill>
                <a:schemeClr val="bg1"/>
              </a:solidFill>
              <a:latin typeface="Arial Black" panose="020B0A04020102020204" pitchFamily="34" charset="0"/>
            </a:rPr>
            <a:pPr algn="ctr"/>
            <a:t>1,000</a:t>
          </a:fld>
          <a:endParaRPr lang="en-US" sz="1600" b="1">
            <a:solidFill>
              <a:schemeClr val="bg1"/>
            </a:solidFill>
            <a:latin typeface="Arial Black" panose="020B0A04020102020204" pitchFamily="34" charset="0"/>
          </a:endParaRPr>
        </a:p>
      </xdr:txBody>
    </xdr:sp>
    <xdr:clientData/>
  </xdr:twoCellAnchor>
  <xdr:twoCellAnchor>
    <xdr:from>
      <xdr:col>2</xdr:col>
      <xdr:colOff>213360</xdr:colOff>
      <xdr:row>3</xdr:row>
      <xdr:rowOff>45720</xdr:rowOff>
    </xdr:from>
    <xdr:to>
      <xdr:col>3</xdr:col>
      <xdr:colOff>556260</xdr:colOff>
      <xdr:row>4</xdr:row>
      <xdr:rowOff>68580</xdr:rowOff>
    </xdr:to>
    <xdr:sp macro="" textlink="">
      <xdr:nvSpPr>
        <xdr:cNvPr id="3" name="TextBox 2">
          <a:extLst>
            <a:ext uri="{FF2B5EF4-FFF2-40B4-BE49-F238E27FC236}">
              <a16:creationId xmlns:a16="http://schemas.microsoft.com/office/drawing/2014/main" id="{B0A3532B-4765-2559-9592-8E7D1AE09871}"/>
            </a:ext>
          </a:extLst>
        </xdr:cNvPr>
        <xdr:cNvSpPr txBox="1"/>
      </xdr:nvSpPr>
      <xdr:spPr>
        <a:xfrm>
          <a:off x="495300" y="59436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rial Black" panose="020B0A04020102020204" pitchFamily="34" charset="0"/>
            </a:rPr>
            <a:t>Calls</a:t>
          </a:r>
          <a:endParaRPr lang="en-IN" sz="1400">
            <a:solidFill>
              <a:schemeClr val="bg1"/>
            </a:solidFill>
            <a:latin typeface="Arial Black" panose="020B0A04020102020204" pitchFamily="34" charset="0"/>
          </a:endParaRPr>
        </a:p>
      </xdr:txBody>
    </xdr:sp>
    <xdr:clientData/>
  </xdr:twoCellAnchor>
  <xdr:twoCellAnchor editAs="oneCell">
    <xdr:from>
      <xdr:col>2</xdr:col>
      <xdr:colOff>99060</xdr:colOff>
      <xdr:row>3</xdr:row>
      <xdr:rowOff>45457</xdr:rowOff>
    </xdr:from>
    <xdr:to>
      <xdr:col>2</xdr:col>
      <xdr:colOff>264700</xdr:colOff>
      <xdr:row>4</xdr:row>
      <xdr:rowOff>24198</xdr:rowOff>
    </xdr:to>
    <xdr:pic>
      <xdr:nvPicPr>
        <xdr:cNvPr id="4" name="Graphic 3" descr="Receiver with solid fill">
          <a:extLst>
            <a:ext uri="{FF2B5EF4-FFF2-40B4-BE49-F238E27FC236}">
              <a16:creationId xmlns:a16="http://schemas.microsoft.com/office/drawing/2014/main" id="{B3C1D468-D765-4A90-838F-AA35AA6FC51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810130">
          <a:off x="381000" y="594097"/>
          <a:ext cx="165640" cy="161621"/>
        </a:xfrm>
        <a:prstGeom prst="rect">
          <a:avLst/>
        </a:prstGeom>
      </xdr:spPr>
    </xdr:pic>
    <xdr:clientData/>
  </xdr:twoCellAnchor>
  <xdr:twoCellAnchor>
    <xdr:from>
      <xdr:col>2</xdr:col>
      <xdr:colOff>350520</xdr:colOff>
      <xdr:row>6</xdr:row>
      <xdr:rowOff>53340</xdr:rowOff>
    </xdr:from>
    <xdr:to>
      <xdr:col>3</xdr:col>
      <xdr:colOff>403860</xdr:colOff>
      <xdr:row>7</xdr:row>
      <xdr:rowOff>45720</xdr:rowOff>
    </xdr:to>
    <xdr:sp macro="" textlink="pivots!A13">
      <xdr:nvSpPr>
        <xdr:cNvPr id="5" name="TextBox 4">
          <a:extLst>
            <a:ext uri="{FF2B5EF4-FFF2-40B4-BE49-F238E27FC236}">
              <a16:creationId xmlns:a16="http://schemas.microsoft.com/office/drawing/2014/main" id="{A3A04291-CE97-78EC-7CB2-33068826B8F5}"/>
            </a:ext>
          </a:extLst>
        </xdr:cNvPr>
        <xdr:cNvSpPr txBox="1"/>
      </xdr:nvSpPr>
      <xdr:spPr>
        <a:xfrm>
          <a:off x="632460" y="1150620"/>
          <a:ext cx="6629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355733-716D-4424-A66A-9EE7838095EE}" type="TxLink">
            <a:rPr lang="en-US" sz="1000" b="1" i="0" u="none" strike="noStrike">
              <a:solidFill>
                <a:schemeClr val="bg1">
                  <a:lumMod val="85000"/>
                </a:schemeClr>
              </a:solidFill>
              <a:latin typeface="Arial Black" panose="020B0A04020102020204" pitchFamily="34" charset="0"/>
            </a:rPr>
            <a:pPr algn="ctr"/>
            <a:t>1,000</a:t>
          </a:fld>
          <a:endParaRPr lang="en-IN" sz="1000" b="1">
            <a:solidFill>
              <a:schemeClr val="bg1">
                <a:lumMod val="85000"/>
              </a:schemeClr>
            </a:solidFill>
            <a:latin typeface="Arial Black" panose="020B0A04020102020204" pitchFamily="34" charset="0"/>
          </a:endParaRPr>
        </a:p>
      </xdr:txBody>
    </xdr:sp>
    <xdr:clientData/>
  </xdr:twoCellAnchor>
  <xdr:twoCellAnchor>
    <xdr:from>
      <xdr:col>2</xdr:col>
      <xdr:colOff>0</xdr:colOff>
      <xdr:row>9</xdr:row>
      <xdr:rowOff>0</xdr:rowOff>
    </xdr:from>
    <xdr:to>
      <xdr:col>4</xdr:col>
      <xdr:colOff>91440</xdr:colOff>
      <xdr:row>13</xdr:row>
      <xdr:rowOff>152400</xdr:rowOff>
    </xdr:to>
    <xdr:sp macro="" textlink="pivots!B4">
      <xdr:nvSpPr>
        <xdr:cNvPr id="18" name="Rectangle 17">
          <a:extLst>
            <a:ext uri="{FF2B5EF4-FFF2-40B4-BE49-F238E27FC236}">
              <a16:creationId xmlns:a16="http://schemas.microsoft.com/office/drawing/2014/main" id="{0A77D5AE-1F96-4CD3-BE71-8A2C1264E232}"/>
            </a:ext>
          </a:extLst>
        </xdr:cNvPr>
        <xdr:cNvSpPr/>
      </xdr:nvSpPr>
      <xdr:spPr>
        <a:xfrm>
          <a:off x="281940" y="1645920"/>
          <a:ext cx="131064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46C37D5-3050-4494-BADD-35A5AC8199C2}" type="TxLink">
            <a:rPr lang="en-US" sz="1600" b="1" i="0" u="none" strike="noStrike">
              <a:solidFill>
                <a:schemeClr val="bg1"/>
              </a:solidFill>
              <a:latin typeface="Arial Black" panose="020B0A04020102020204" pitchFamily="34" charset="0"/>
              <a:ea typeface="+mn-ea"/>
              <a:cs typeface="+mn-cs"/>
            </a:rPr>
            <a:pPr marL="0" indent="0" algn="ctr"/>
            <a:t>₹ 96,623</a:t>
          </a:fld>
          <a:endParaRPr lang="en-US" sz="1600" b="1" i="0" u="none" strike="noStrike">
            <a:solidFill>
              <a:schemeClr val="bg1"/>
            </a:solidFill>
            <a:latin typeface="Arial Black" panose="020B0A04020102020204" pitchFamily="34" charset="0"/>
            <a:ea typeface="+mn-ea"/>
            <a:cs typeface="+mn-cs"/>
          </a:endParaRPr>
        </a:p>
      </xdr:txBody>
    </xdr:sp>
    <xdr:clientData/>
  </xdr:twoCellAnchor>
  <xdr:twoCellAnchor>
    <xdr:from>
      <xdr:col>2</xdr:col>
      <xdr:colOff>182880</xdr:colOff>
      <xdr:row>9</xdr:row>
      <xdr:rowOff>68580</xdr:rowOff>
    </xdr:from>
    <xdr:to>
      <xdr:col>3</xdr:col>
      <xdr:colOff>525780</xdr:colOff>
      <xdr:row>10</xdr:row>
      <xdr:rowOff>91440</xdr:rowOff>
    </xdr:to>
    <xdr:sp macro="" textlink="">
      <xdr:nvSpPr>
        <xdr:cNvPr id="19" name="TextBox 18">
          <a:extLst>
            <a:ext uri="{FF2B5EF4-FFF2-40B4-BE49-F238E27FC236}">
              <a16:creationId xmlns:a16="http://schemas.microsoft.com/office/drawing/2014/main" id="{09AD89F3-49C7-4B9D-A691-3DCA6B578C5F}"/>
            </a:ext>
          </a:extLst>
        </xdr:cNvPr>
        <xdr:cNvSpPr txBox="1"/>
      </xdr:nvSpPr>
      <xdr:spPr>
        <a:xfrm>
          <a:off x="464820" y="171450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rial Black" panose="020B0A04020102020204" pitchFamily="34" charset="0"/>
            </a:rPr>
            <a:t>Amount</a:t>
          </a:r>
          <a:endParaRPr lang="en-IN" sz="1400">
            <a:solidFill>
              <a:schemeClr val="bg1"/>
            </a:solidFill>
            <a:latin typeface="Arial Black" panose="020B0A04020102020204" pitchFamily="34" charset="0"/>
          </a:endParaRPr>
        </a:p>
      </xdr:txBody>
    </xdr:sp>
    <xdr:clientData/>
  </xdr:twoCellAnchor>
  <xdr:twoCellAnchor editAs="oneCell">
    <xdr:from>
      <xdr:col>2</xdr:col>
      <xdr:colOff>70589</xdr:colOff>
      <xdr:row>9</xdr:row>
      <xdr:rowOff>68317</xdr:rowOff>
    </xdr:from>
    <xdr:to>
      <xdr:col>2</xdr:col>
      <xdr:colOff>232210</xdr:colOff>
      <xdr:row>10</xdr:row>
      <xdr:rowOff>47058</xdr:rowOff>
    </xdr:to>
    <xdr:pic>
      <xdr:nvPicPr>
        <xdr:cNvPr id="20" name="Graphic 19">
          <a:extLst>
            <a:ext uri="{FF2B5EF4-FFF2-40B4-BE49-F238E27FC236}">
              <a16:creationId xmlns:a16="http://schemas.microsoft.com/office/drawing/2014/main" id="{ABF060F2-0640-4537-BA6B-399EF4C4566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352529" y="1714237"/>
          <a:ext cx="161621" cy="161621"/>
        </a:xfrm>
        <a:prstGeom prst="rect">
          <a:avLst/>
        </a:prstGeom>
      </xdr:spPr>
    </xdr:pic>
    <xdr:clientData/>
  </xdr:twoCellAnchor>
  <xdr:twoCellAnchor>
    <xdr:from>
      <xdr:col>2</xdr:col>
      <xdr:colOff>251460</xdr:colOff>
      <xdr:row>12</xdr:row>
      <xdr:rowOff>99060</xdr:rowOff>
    </xdr:from>
    <xdr:to>
      <xdr:col>3</xdr:col>
      <xdr:colOff>472440</xdr:colOff>
      <xdr:row>13</xdr:row>
      <xdr:rowOff>83820</xdr:rowOff>
    </xdr:to>
    <xdr:sp macro="" textlink="pivots!B13">
      <xdr:nvSpPr>
        <xdr:cNvPr id="21" name="TextBox 20">
          <a:extLst>
            <a:ext uri="{FF2B5EF4-FFF2-40B4-BE49-F238E27FC236}">
              <a16:creationId xmlns:a16="http://schemas.microsoft.com/office/drawing/2014/main" id="{A999D00B-EB97-4CFA-BD78-E391CDE4AC28}"/>
            </a:ext>
          </a:extLst>
        </xdr:cNvPr>
        <xdr:cNvSpPr txBox="1"/>
      </xdr:nvSpPr>
      <xdr:spPr>
        <a:xfrm>
          <a:off x="533400" y="2293620"/>
          <a:ext cx="83058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FE41E3-87A9-4400-B678-3F4E3ACB33CB}" type="TxLink">
            <a:rPr lang="en-US" sz="1000" b="1" i="0" u="none" strike="noStrike">
              <a:solidFill>
                <a:schemeClr val="bg1">
                  <a:lumMod val="85000"/>
                </a:schemeClr>
              </a:solidFill>
              <a:latin typeface="Arial Black" panose="020B0A04020102020204" pitchFamily="34" charset="0"/>
              <a:ea typeface="+mn-ea"/>
              <a:cs typeface="+mn-cs"/>
            </a:rPr>
            <a:pPr marL="0" indent="0" algn="ctr"/>
            <a:t>₹ 96,623</a:t>
          </a:fld>
          <a:endParaRPr lang="en-IN" sz="1000" b="1" i="0" u="none" strike="noStrike">
            <a:solidFill>
              <a:schemeClr val="bg1">
                <a:lumMod val="85000"/>
              </a:schemeClr>
            </a:solidFill>
            <a:latin typeface="Arial Black" panose="020B0A04020102020204" pitchFamily="34" charset="0"/>
            <a:ea typeface="+mn-ea"/>
            <a:cs typeface="+mn-cs"/>
          </a:endParaRPr>
        </a:p>
      </xdr:txBody>
    </xdr:sp>
    <xdr:clientData/>
  </xdr:twoCellAnchor>
  <xdr:twoCellAnchor>
    <xdr:from>
      <xdr:col>2</xdr:col>
      <xdr:colOff>0</xdr:colOff>
      <xdr:row>15</xdr:row>
      <xdr:rowOff>0</xdr:rowOff>
    </xdr:from>
    <xdr:to>
      <xdr:col>4</xdr:col>
      <xdr:colOff>91440</xdr:colOff>
      <xdr:row>19</xdr:row>
      <xdr:rowOff>152400</xdr:rowOff>
    </xdr:to>
    <xdr:sp macro="" textlink="pivots!C4">
      <xdr:nvSpPr>
        <xdr:cNvPr id="22" name="Rectangle 21">
          <a:extLst>
            <a:ext uri="{FF2B5EF4-FFF2-40B4-BE49-F238E27FC236}">
              <a16:creationId xmlns:a16="http://schemas.microsoft.com/office/drawing/2014/main" id="{C55562E1-0387-4CD4-8255-E4CF85838D57}"/>
            </a:ext>
          </a:extLst>
        </xdr:cNvPr>
        <xdr:cNvSpPr/>
      </xdr:nvSpPr>
      <xdr:spPr>
        <a:xfrm>
          <a:off x="281940" y="2743200"/>
          <a:ext cx="131064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361048-B37E-4416-9AF5-857D04FFB65B}" type="TxLink">
            <a:rPr lang="en-US" sz="1600" b="1" i="0" u="none" strike="noStrike">
              <a:solidFill>
                <a:schemeClr val="bg1"/>
              </a:solidFill>
              <a:latin typeface="Arial Black" panose="020B0A04020102020204" pitchFamily="34" charset="0"/>
              <a:ea typeface="+mn-ea"/>
              <a:cs typeface="+mn-cs"/>
            </a:rPr>
            <a:pPr marL="0" indent="0" algn="ctr"/>
            <a:t>89,850</a:t>
          </a:fld>
          <a:endParaRPr lang="en-US" sz="1600" b="1" i="0" u="none" strike="noStrike">
            <a:solidFill>
              <a:schemeClr val="bg1"/>
            </a:solidFill>
            <a:latin typeface="Arial Black" panose="020B0A04020102020204" pitchFamily="34" charset="0"/>
            <a:ea typeface="+mn-ea"/>
            <a:cs typeface="+mn-cs"/>
          </a:endParaRPr>
        </a:p>
      </xdr:txBody>
    </xdr:sp>
    <xdr:clientData/>
  </xdr:twoCellAnchor>
  <xdr:twoCellAnchor>
    <xdr:from>
      <xdr:col>2</xdr:col>
      <xdr:colOff>182880</xdr:colOff>
      <xdr:row>15</xdr:row>
      <xdr:rowOff>68580</xdr:rowOff>
    </xdr:from>
    <xdr:to>
      <xdr:col>3</xdr:col>
      <xdr:colOff>525780</xdr:colOff>
      <xdr:row>16</xdr:row>
      <xdr:rowOff>91440</xdr:rowOff>
    </xdr:to>
    <xdr:sp macro="" textlink="">
      <xdr:nvSpPr>
        <xdr:cNvPr id="23" name="TextBox 22">
          <a:extLst>
            <a:ext uri="{FF2B5EF4-FFF2-40B4-BE49-F238E27FC236}">
              <a16:creationId xmlns:a16="http://schemas.microsoft.com/office/drawing/2014/main" id="{934243C3-7934-4E3C-8B8A-07AD04926300}"/>
            </a:ext>
          </a:extLst>
        </xdr:cNvPr>
        <xdr:cNvSpPr txBox="1"/>
      </xdr:nvSpPr>
      <xdr:spPr>
        <a:xfrm>
          <a:off x="464820" y="2811780"/>
          <a:ext cx="9525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rial Black" panose="020B0A04020102020204" pitchFamily="34" charset="0"/>
            </a:rPr>
            <a:t>Duration</a:t>
          </a:r>
          <a:endParaRPr lang="en-IN" sz="1400">
            <a:solidFill>
              <a:schemeClr val="bg1"/>
            </a:solidFill>
            <a:latin typeface="Arial Black" panose="020B0A04020102020204" pitchFamily="34" charset="0"/>
          </a:endParaRPr>
        </a:p>
      </xdr:txBody>
    </xdr:sp>
    <xdr:clientData/>
  </xdr:twoCellAnchor>
  <xdr:twoCellAnchor editAs="oneCell">
    <xdr:from>
      <xdr:col>2</xdr:col>
      <xdr:colOff>70589</xdr:colOff>
      <xdr:row>15</xdr:row>
      <xdr:rowOff>68317</xdr:rowOff>
    </xdr:from>
    <xdr:to>
      <xdr:col>2</xdr:col>
      <xdr:colOff>232210</xdr:colOff>
      <xdr:row>16</xdr:row>
      <xdr:rowOff>47058</xdr:rowOff>
    </xdr:to>
    <xdr:pic>
      <xdr:nvPicPr>
        <xdr:cNvPr id="24" name="Graphic 23">
          <a:extLst>
            <a:ext uri="{FF2B5EF4-FFF2-40B4-BE49-F238E27FC236}">
              <a16:creationId xmlns:a16="http://schemas.microsoft.com/office/drawing/2014/main" id="{7EDFE021-A5EB-49FD-9A71-B7194F1DE3D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52529" y="2811517"/>
          <a:ext cx="161621" cy="161621"/>
        </a:xfrm>
        <a:prstGeom prst="rect">
          <a:avLst/>
        </a:prstGeom>
      </xdr:spPr>
    </xdr:pic>
    <xdr:clientData/>
  </xdr:twoCellAnchor>
  <xdr:twoCellAnchor>
    <xdr:from>
      <xdr:col>2</xdr:col>
      <xdr:colOff>320040</xdr:colOff>
      <xdr:row>18</xdr:row>
      <xdr:rowOff>76200</xdr:rowOff>
    </xdr:from>
    <xdr:to>
      <xdr:col>3</xdr:col>
      <xdr:colOff>373380</xdr:colOff>
      <xdr:row>19</xdr:row>
      <xdr:rowOff>68580</xdr:rowOff>
    </xdr:to>
    <xdr:sp macro="" textlink="pivots!C13">
      <xdr:nvSpPr>
        <xdr:cNvPr id="25" name="TextBox 24">
          <a:extLst>
            <a:ext uri="{FF2B5EF4-FFF2-40B4-BE49-F238E27FC236}">
              <a16:creationId xmlns:a16="http://schemas.microsoft.com/office/drawing/2014/main" id="{5698503B-7AD2-4C99-9D2C-F314E84EFDAE}"/>
            </a:ext>
          </a:extLst>
        </xdr:cNvPr>
        <xdr:cNvSpPr txBox="1"/>
      </xdr:nvSpPr>
      <xdr:spPr>
        <a:xfrm>
          <a:off x="601980" y="3368040"/>
          <a:ext cx="6629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BC07D3D-072B-49F5-832B-497DFBBD5908}" type="TxLink">
            <a:rPr lang="en-US" sz="1000" b="1" i="0" u="none" strike="noStrike">
              <a:solidFill>
                <a:schemeClr val="bg1">
                  <a:lumMod val="85000"/>
                </a:schemeClr>
              </a:solidFill>
              <a:latin typeface="Arial Black" panose="020B0A04020102020204" pitchFamily="34" charset="0"/>
              <a:ea typeface="+mn-ea"/>
              <a:cs typeface="+mn-cs"/>
            </a:rPr>
            <a:pPr marL="0" indent="0" algn="ctr"/>
            <a:t>89,850</a:t>
          </a:fld>
          <a:endParaRPr lang="en-IN" sz="1000" b="1" i="0" u="none" strike="noStrike">
            <a:solidFill>
              <a:schemeClr val="bg1">
                <a:lumMod val="85000"/>
              </a:schemeClr>
            </a:solidFill>
            <a:latin typeface="Arial Black" panose="020B0A04020102020204" pitchFamily="34" charset="0"/>
            <a:ea typeface="+mn-ea"/>
            <a:cs typeface="+mn-cs"/>
          </a:endParaRPr>
        </a:p>
      </xdr:txBody>
    </xdr:sp>
    <xdr:clientData/>
  </xdr:twoCellAnchor>
  <xdr:twoCellAnchor>
    <xdr:from>
      <xdr:col>2</xdr:col>
      <xdr:colOff>0</xdr:colOff>
      <xdr:row>21</xdr:row>
      <xdr:rowOff>0</xdr:rowOff>
    </xdr:from>
    <xdr:to>
      <xdr:col>4</xdr:col>
      <xdr:colOff>91440</xdr:colOff>
      <xdr:row>25</xdr:row>
      <xdr:rowOff>152400</xdr:rowOff>
    </xdr:to>
    <xdr:sp macro="" textlink="pivots!D4">
      <xdr:nvSpPr>
        <xdr:cNvPr id="26" name="Rectangle 25">
          <a:extLst>
            <a:ext uri="{FF2B5EF4-FFF2-40B4-BE49-F238E27FC236}">
              <a16:creationId xmlns:a16="http://schemas.microsoft.com/office/drawing/2014/main" id="{C55305DB-6F83-4C1F-B1A4-A1B252D6931F}"/>
            </a:ext>
          </a:extLst>
        </xdr:cNvPr>
        <xdr:cNvSpPr/>
      </xdr:nvSpPr>
      <xdr:spPr>
        <a:xfrm>
          <a:off x="281940" y="3840480"/>
          <a:ext cx="131064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72CFB35-7DFC-483C-8BF0-95ACC7168647}" type="TxLink">
            <a:rPr lang="en-US" sz="1600" b="1" i="0" u="none" strike="noStrike">
              <a:solidFill>
                <a:schemeClr val="bg1"/>
              </a:solidFill>
              <a:latin typeface="Arial Black" panose="020B0A04020102020204" pitchFamily="34" charset="0"/>
              <a:ea typeface="+mn-ea"/>
              <a:cs typeface="+mn-cs"/>
            </a:rPr>
            <a:pPr marL="0" indent="0" algn="ctr"/>
            <a:t>3.9</a:t>
          </a:fld>
          <a:endParaRPr lang="en-US" sz="1600" b="1" i="0" u="none" strike="noStrike">
            <a:solidFill>
              <a:schemeClr val="bg1"/>
            </a:solidFill>
            <a:latin typeface="Arial Black" panose="020B0A04020102020204" pitchFamily="34" charset="0"/>
            <a:ea typeface="+mn-ea"/>
            <a:cs typeface="+mn-cs"/>
          </a:endParaRPr>
        </a:p>
      </xdr:txBody>
    </xdr:sp>
    <xdr:clientData/>
  </xdr:twoCellAnchor>
  <xdr:twoCellAnchor>
    <xdr:from>
      <xdr:col>2</xdr:col>
      <xdr:colOff>182880</xdr:colOff>
      <xdr:row>21</xdr:row>
      <xdr:rowOff>68580</xdr:rowOff>
    </xdr:from>
    <xdr:to>
      <xdr:col>3</xdr:col>
      <xdr:colOff>563880</xdr:colOff>
      <xdr:row>22</xdr:row>
      <xdr:rowOff>99060</xdr:rowOff>
    </xdr:to>
    <xdr:sp macro="" textlink="">
      <xdr:nvSpPr>
        <xdr:cNvPr id="27" name="TextBox 26">
          <a:extLst>
            <a:ext uri="{FF2B5EF4-FFF2-40B4-BE49-F238E27FC236}">
              <a16:creationId xmlns:a16="http://schemas.microsoft.com/office/drawing/2014/main" id="{DD393473-E0C4-43DD-B352-DDFD994070DA}"/>
            </a:ext>
          </a:extLst>
        </xdr:cNvPr>
        <xdr:cNvSpPr txBox="1"/>
      </xdr:nvSpPr>
      <xdr:spPr>
        <a:xfrm>
          <a:off x="464820" y="3909060"/>
          <a:ext cx="9906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Arial Black" panose="020B0A04020102020204" pitchFamily="34" charset="0"/>
            </a:rPr>
            <a:t>Avg.rating</a:t>
          </a:r>
          <a:endParaRPr lang="en-IN" sz="1400">
            <a:solidFill>
              <a:schemeClr val="bg1"/>
            </a:solidFill>
            <a:latin typeface="Arial Black" panose="020B0A04020102020204" pitchFamily="34" charset="0"/>
          </a:endParaRPr>
        </a:p>
      </xdr:txBody>
    </xdr:sp>
    <xdr:clientData/>
  </xdr:twoCellAnchor>
  <xdr:twoCellAnchor editAs="oneCell">
    <xdr:from>
      <xdr:col>2</xdr:col>
      <xdr:colOff>70589</xdr:colOff>
      <xdr:row>21</xdr:row>
      <xdr:rowOff>68317</xdr:rowOff>
    </xdr:from>
    <xdr:to>
      <xdr:col>2</xdr:col>
      <xdr:colOff>232210</xdr:colOff>
      <xdr:row>22</xdr:row>
      <xdr:rowOff>47058</xdr:rowOff>
    </xdr:to>
    <xdr:pic>
      <xdr:nvPicPr>
        <xdr:cNvPr id="28" name="Graphic 27">
          <a:extLst>
            <a:ext uri="{FF2B5EF4-FFF2-40B4-BE49-F238E27FC236}">
              <a16:creationId xmlns:a16="http://schemas.microsoft.com/office/drawing/2014/main" id="{0013D7BF-80FA-45EE-AF87-96CF3C5A0D7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352529" y="3908797"/>
          <a:ext cx="161621" cy="161621"/>
        </a:xfrm>
        <a:prstGeom prst="rect">
          <a:avLst/>
        </a:prstGeom>
      </xdr:spPr>
    </xdr:pic>
    <xdr:clientData/>
  </xdr:twoCellAnchor>
  <xdr:twoCellAnchor>
    <xdr:from>
      <xdr:col>2</xdr:col>
      <xdr:colOff>320040</xdr:colOff>
      <xdr:row>24</xdr:row>
      <xdr:rowOff>76200</xdr:rowOff>
    </xdr:from>
    <xdr:to>
      <xdr:col>3</xdr:col>
      <xdr:colOff>373380</xdr:colOff>
      <xdr:row>25</xdr:row>
      <xdr:rowOff>68580</xdr:rowOff>
    </xdr:to>
    <xdr:sp macro="" textlink="pivots!D13">
      <xdr:nvSpPr>
        <xdr:cNvPr id="29" name="TextBox 28">
          <a:extLst>
            <a:ext uri="{FF2B5EF4-FFF2-40B4-BE49-F238E27FC236}">
              <a16:creationId xmlns:a16="http://schemas.microsoft.com/office/drawing/2014/main" id="{C6AC6614-3674-464F-8576-E46304639D01}"/>
            </a:ext>
          </a:extLst>
        </xdr:cNvPr>
        <xdr:cNvSpPr txBox="1"/>
      </xdr:nvSpPr>
      <xdr:spPr>
        <a:xfrm>
          <a:off x="601980" y="4465320"/>
          <a:ext cx="6629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4D2954C-6DED-4BC2-B380-E2BC3003722E}" type="TxLink">
            <a:rPr lang="en-US" sz="1000" b="1" i="0" u="none" strike="noStrike">
              <a:solidFill>
                <a:schemeClr val="bg1">
                  <a:lumMod val="85000"/>
                </a:schemeClr>
              </a:solidFill>
              <a:latin typeface="Arial Black" panose="020B0A04020102020204" pitchFamily="34" charset="0"/>
              <a:ea typeface="+mn-ea"/>
              <a:cs typeface="+mn-cs"/>
            </a:rPr>
            <a:pPr marL="0" indent="0" algn="ctr"/>
            <a:t>3.9</a:t>
          </a:fld>
          <a:endParaRPr lang="en-IN" sz="1000" b="1" i="0" u="none" strike="noStrike">
            <a:solidFill>
              <a:schemeClr val="bg1">
                <a:lumMod val="85000"/>
              </a:schemeClr>
            </a:solidFill>
            <a:latin typeface="Arial Black" panose="020B0A04020102020204" pitchFamily="34" charset="0"/>
            <a:ea typeface="+mn-ea"/>
            <a:cs typeface="+mn-cs"/>
          </a:endParaRPr>
        </a:p>
      </xdr:txBody>
    </xdr:sp>
    <xdr:clientData/>
  </xdr:twoCellAnchor>
  <xdr:twoCellAnchor>
    <xdr:from>
      <xdr:col>2</xdr:col>
      <xdr:colOff>0</xdr:colOff>
      <xdr:row>27</xdr:row>
      <xdr:rowOff>0</xdr:rowOff>
    </xdr:from>
    <xdr:to>
      <xdr:col>4</xdr:col>
      <xdr:colOff>91440</xdr:colOff>
      <xdr:row>31</xdr:row>
      <xdr:rowOff>152400</xdr:rowOff>
    </xdr:to>
    <xdr:sp macro="" textlink="pivots!E4">
      <xdr:nvSpPr>
        <xdr:cNvPr id="30" name="Rectangle 29">
          <a:extLst>
            <a:ext uri="{FF2B5EF4-FFF2-40B4-BE49-F238E27FC236}">
              <a16:creationId xmlns:a16="http://schemas.microsoft.com/office/drawing/2014/main" id="{500878EE-CDBA-486E-8116-41516A88991F}"/>
            </a:ext>
          </a:extLst>
        </xdr:cNvPr>
        <xdr:cNvSpPr/>
      </xdr:nvSpPr>
      <xdr:spPr>
        <a:xfrm>
          <a:off x="281940" y="4937760"/>
          <a:ext cx="1310640" cy="88392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7611A1-3319-4030-A606-9EDF685C1DEE}" type="TxLink">
            <a:rPr lang="en-US" sz="1600" b="1" i="0" u="none" strike="noStrike">
              <a:solidFill>
                <a:schemeClr val="bg1"/>
              </a:solidFill>
              <a:latin typeface="Arial Black" panose="020B0A04020102020204" pitchFamily="34" charset="0"/>
              <a:ea typeface="+mn-ea"/>
              <a:cs typeface="+mn-cs"/>
            </a:rPr>
            <a:pPr marL="0" indent="0" algn="ctr"/>
            <a:t>307</a:t>
          </a:fld>
          <a:endParaRPr lang="en-US" sz="1600" b="1" i="0" u="none" strike="noStrike">
            <a:solidFill>
              <a:schemeClr val="bg1"/>
            </a:solidFill>
            <a:latin typeface="Arial Black" panose="020B0A04020102020204" pitchFamily="34" charset="0"/>
            <a:ea typeface="+mn-ea"/>
            <a:cs typeface="+mn-cs"/>
          </a:endParaRPr>
        </a:p>
      </xdr:txBody>
    </xdr:sp>
    <xdr:clientData/>
  </xdr:twoCellAnchor>
  <xdr:twoCellAnchor>
    <xdr:from>
      <xdr:col>2</xdr:col>
      <xdr:colOff>182880</xdr:colOff>
      <xdr:row>27</xdr:row>
      <xdr:rowOff>68580</xdr:rowOff>
    </xdr:from>
    <xdr:to>
      <xdr:col>4</xdr:col>
      <xdr:colOff>0</xdr:colOff>
      <xdr:row>28</xdr:row>
      <xdr:rowOff>137160</xdr:rowOff>
    </xdr:to>
    <xdr:sp macro="" textlink="">
      <xdr:nvSpPr>
        <xdr:cNvPr id="31" name="TextBox 30">
          <a:extLst>
            <a:ext uri="{FF2B5EF4-FFF2-40B4-BE49-F238E27FC236}">
              <a16:creationId xmlns:a16="http://schemas.microsoft.com/office/drawing/2014/main" id="{93EA6ADF-6909-4C73-98A2-BD8AD87B361F}"/>
            </a:ext>
          </a:extLst>
        </xdr:cNvPr>
        <xdr:cNvSpPr txBox="1"/>
      </xdr:nvSpPr>
      <xdr:spPr>
        <a:xfrm>
          <a:off x="464820" y="5006340"/>
          <a:ext cx="1036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800">
              <a:solidFill>
                <a:schemeClr val="bg1"/>
              </a:solidFill>
              <a:latin typeface="Arial Black" panose="020B0A04020102020204" pitchFamily="34" charset="0"/>
            </a:rPr>
            <a:t>Happy</a:t>
          </a:r>
          <a:r>
            <a:rPr lang="en-IN" sz="800" baseline="0">
              <a:solidFill>
                <a:schemeClr val="bg1"/>
              </a:solidFill>
              <a:latin typeface="Arial Black" panose="020B0A04020102020204" pitchFamily="34" charset="0"/>
            </a:rPr>
            <a:t> callers</a:t>
          </a:r>
          <a:endParaRPr lang="en-IN" sz="800">
            <a:solidFill>
              <a:schemeClr val="bg1"/>
            </a:solidFill>
            <a:latin typeface="Arial Black" panose="020B0A04020102020204" pitchFamily="34" charset="0"/>
          </a:endParaRPr>
        </a:p>
      </xdr:txBody>
    </xdr:sp>
    <xdr:clientData/>
  </xdr:twoCellAnchor>
  <xdr:twoCellAnchor editAs="oneCell">
    <xdr:from>
      <xdr:col>2</xdr:col>
      <xdr:colOff>70589</xdr:colOff>
      <xdr:row>27</xdr:row>
      <xdr:rowOff>68317</xdr:rowOff>
    </xdr:from>
    <xdr:to>
      <xdr:col>2</xdr:col>
      <xdr:colOff>232210</xdr:colOff>
      <xdr:row>28</xdr:row>
      <xdr:rowOff>47058</xdr:rowOff>
    </xdr:to>
    <xdr:pic>
      <xdr:nvPicPr>
        <xdr:cNvPr id="32" name="Graphic 31">
          <a:extLst>
            <a:ext uri="{FF2B5EF4-FFF2-40B4-BE49-F238E27FC236}">
              <a16:creationId xmlns:a16="http://schemas.microsoft.com/office/drawing/2014/main" id="{EA00EE7A-0DE9-4B6B-ADB9-66212E0EEF9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352529" y="5006077"/>
          <a:ext cx="161621" cy="161621"/>
        </a:xfrm>
        <a:prstGeom prst="rect">
          <a:avLst/>
        </a:prstGeom>
      </xdr:spPr>
    </xdr:pic>
    <xdr:clientData/>
  </xdr:twoCellAnchor>
  <xdr:twoCellAnchor>
    <xdr:from>
      <xdr:col>2</xdr:col>
      <xdr:colOff>320040</xdr:colOff>
      <xdr:row>30</xdr:row>
      <xdr:rowOff>76200</xdr:rowOff>
    </xdr:from>
    <xdr:to>
      <xdr:col>3</xdr:col>
      <xdr:colOff>373380</xdr:colOff>
      <xdr:row>31</xdr:row>
      <xdr:rowOff>68580</xdr:rowOff>
    </xdr:to>
    <xdr:sp macro="" textlink="pivots!E13">
      <xdr:nvSpPr>
        <xdr:cNvPr id="33" name="TextBox 32">
          <a:extLst>
            <a:ext uri="{FF2B5EF4-FFF2-40B4-BE49-F238E27FC236}">
              <a16:creationId xmlns:a16="http://schemas.microsoft.com/office/drawing/2014/main" id="{5C53EE1E-BE7B-49FE-B686-2D442E27C6FC}"/>
            </a:ext>
          </a:extLst>
        </xdr:cNvPr>
        <xdr:cNvSpPr txBox="1"/>
      </xdr:nvSpPr>
      <xdr:spPr>
        <a:xfrm>
          <a:off x="601980" y="5562600"/>
          <a:ext cx="66294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706723-9747-43CF-AA6A-69C65E2A9267}" type="TxLink">
            <a:rPr lang="en-US" sz="1000" b="1" i="0" u="none" strike="noStrike">
              <a:solidFill>
                <a:schemeClr val="bg1">
                  <a:lumMod val="85000"/>
                </a:schemeClr>
              </a:solidFill>
              <a:latin typeface="Arial Black" panose="020B0A04020102020204" pitchFamily="34" charset="0"/>
              <a:ea typeface="+mn-ea"/>
              <a:cs typeface="+mn-cs"/>
            </a:rPr>
            <a:pPr marL="0" indent="0" algn="ctr"/>
            <a:t>307</a:t>
          </a:fld>
          <a:endParaRPr lang="en-IN" sz="1000" b="1" i="0" u="none" strike="noStrike">
            <a:solidFill>
              <a:schemeClr val="bg1">
                <a:lumMod val="85000"/>
              </a:schemeClr>
            </a:solidFill>
            <a:latin typeface="Arial Black" panose="020B0A04020102020204" pitchFamily="34" charset="0"/>
            <a:ea typeface="+mn-ea"/>
            <a:cs typeface="+mn-cs"/>
          </a:endParaRPr>
        </a:p>
      </xdr:txBody>
    </xdr:sp>
    <xdr:clientData/>
  </xdr:twoCellAnchor>
  <xdr:twoCellAnchor>
    <xdr:from>
      <xdr:col>4</xdr:col>
      <xdr:colOff>266700</xdr:colOff>
      <xdr:row>2</xdr:row>
      <xdr:rowOff>167640</xdr:rowOff>
    </xdr:from>
    <xdr:to>
      <xdr:col>11</xdr:col>
      <xdr:colOff>228600</xdr:colOff>
      <xdr:row>13</xdr:row>
      <xdr:rowOff>175260</xdr:rowOff>
    </xdr:to>
    <xdr:graphicFrame macro="">
      <xdr:nvGraphicFramePr>
        <xdr:cNvPr id="35" name="Chart 34">
          <a:extLst>
            <a:ext uri="{FF2B5EF4-FFF2-40B4-BE49-F238E27FC236}">
              <a16:creationId xmlns:a16="http://schemas.microsoft.com/office/drawing/2014/main" id="{E1361DDB-BE57-4446-9CED-457C0422C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342900</xdr:colOff>
      <xdr:row>16</xdr:row>
      <xdr:rowOff>45720</xdr:rowOff>
    </xdr:from>
    <xdr:to>
      <xdr:col>12</xdr:col>
      <xdr:colOff>198120</xdr:colOff>
      <xdr:row>35</xdr:row>
      <xdr:rowOff>7620</xdr:rowOff>
    </xdr:to>
    <xdr:graphicFrame macro="">
      <xdr:nvGraphicFramePr>
        <xdr:cNvPr id="37" name="Chart 36">
          <a:extLst>
            <a:ext uri="{FF2B5EF4-FFF2-40B4-BE49-F238E27FC236}">
              <a16:creationId xmlns:a16="http://schemas.microsoft.com/office/drawing/2014/main" id="{E27209AD-7094-42FF-BEB9-B925C00AE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335280</xdr:colOff>
      <xdr:row>16</xdr:row>
      <xdr:rowOff>45720</xdr:rowOff>
    </xdr:from>
    <xdr:to>
      <xdr:col>8</xdr:col>
      <xdr:colOff>426720</xdr:colOff>
      <xdr:row>35</xdr:row>
      <xdr:rowOff>83820</xdr:rowOff>
    </xdr:to>
    <xdr:graphicFrame macro="">
      <xdr:nvGraphicFramePr>
        <xdr:cNvPr id="38" name="Chart 37">
          <a:extLst>
            <a:ext uri="{FF2B5EF4-FFF2-40B4-BE49-F238E27FC236}">
              <a16:creationId xmlns:a16="http://schemas.microsoft.com/office/drawing/2014/main" id="{C6FB223D-B810-4B01-ADA3-F4B1CA86B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563880</xdr:colOff>
      <xdr:row>2</xdr:row>
      <xdr:rowOff>160020</xdr:rowOff>
    </xdr:from>
    <xdr:to>
      <xdr:col>18</xdr:col>
      <xdr:colOff>106680</xdr:colOff>
      <xdr:row>14</xdr:row>
      <xdr:rowOff>22860</xdr:rowOff>
    </xdr:to>
    <xdr:graphicFrame macro="">
      <xdr:nvGraphicFramePr>
        <xdr:cNvPr id="41" name="Chart 40">
          <a:extLst>
            <a:ext uri="{FF2B5EF4-FFF2-40B4-BE49-F238E27FC236}">
              <a16:creationId xmlns:a16="http://schemas.microsoft.com/office/drawing/2014/main" id="{86C31618-941E-4090-8739-BFCBEFB19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175260</xdr:colOff>
      <xdr:row>2</xdr:row>
      <xdr:rowOff>152400</xdr:rowOff>
    </xdr:from>
    <xdr:to>
      <xdr:col>22</xdr:col>
      <xdr:colOff>15240</xdr:colOff>
      <xdr:row>14</xdr:row>
      <xdr:rowOff>30480</xdr:rowOff>
    </xdr:to>
    <xdr:graphicFrame macro="">
      <xdr:nvGraphicFramePr>
        <xdr:cNvPr id="42" name="Chart 41">
          <a:extLst>
            <a:ext uri="{FF2B5EF4-FFF2-40B4-BE49-F238E27FC236}">
              <a16:creationId xmlns:a16="http://schemas.microsoft.com/office/drawing/2014/main" id="{B90C8781-2C87-4A8B-A083-07678FF9B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14</xdr:col>
      <xdr:colOff>274320</xdr:colOff>
      <xdr:row>16</xdr:row>
      <xdr:rowOff>106680</xdr:rowOff>
    </xdr:from>
    <xdr:ext cx="184731" cy="264560"/>
    <xdr:sp macro="" textlink="">
      <xdr:nvSpPr>
        <xdr:cNvPr id="46" name="TextBox 45">
          <a:extLst>
            <a:ext uri="{FF2B5EF4-FFF2-40B4-BE49-F238E27FC236}">
              <a16:creationId xmlns:a16="http://schemas.microsoft.com/office/drawing/2014/main" id="{F3E88173-12D4-746F-81BB-7C23A35494AF}"/>
            </a:ext>
          </a:extLst>
        </xdr:cNvPr>
        <xdr:cNvSpPr txBox="1"/>
      </xdr:nvSpPr>
      <xdr:spPr>
        <a:xfrm>
          <a:off x="7871460" y="30327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4.845718402779" backgroundQuery="1" createdVersion="8" refreshedVersion="8" minRefreshableVersion="3" recordCount="0" supportSubquery="1" supportAdvancedDrill="1" xr:uid="{19DEA7B9-5F3A-44A3-8C8B-A172FD722789}">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ount calls]" caption="count calls"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4.845720486112" backgroundQuery="1" createdVersion="8" refreshedVersion="8" minRefreshableVersion="3" recordCount="0" supportSubquery="1" supportAdvancedDrill="1" xr:uid="{44C2B4A0-875B-41C0-8EAE-AB77429A0EA3}">
  <cacheSource type="external" connectionId="1"/>
  <cacheFields count="3">
    <cacheField name="[calls].[Representative].[Representative]" caption="Representative" numFmtId="0" hierarchy="3" level="1">
      <sharedItems count="5">
        <s v="R01"/>
        <s v="R02"/>
        <s v="R03"/>
        <s v="R04"/>
        <s v="R05"/>
      </sharedItems>
    </cacheField>
    <cacheField name="[Measures].[count calls]" caption="count calls"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4.845719328703" backgroundQuery="1" createdVersion="8" refreshedVersion="8" minRefreshableVersion="3" recordCount="0" supportSubquery="1" supportAdvancedDrill="1" xr:uid="{6E93168E-7B03-4E75-8297-CB2C2F8C5DFC}">
  <cacheSource type="external" connectionId="1"/>
  <cacheFields count="5">
    <cacheField name="[Measures].[count calls]" caption="count calls"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4.86236446759" backgroundQuery="1" createdVersion="8" refreshedVersion="8" minRefreshableVersion="3" recordCount="0" supportSubquery="1" supportAdvancedDrill="1" xr:uid="{5CC4971A-29B3-4515-8EB1-FC2F276CE922}">
  <cacheSource type="external" connectionId="1"/>
  <cacheFields count="4">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0"/>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5.563922337962" backgroundQuery="1" createdVersion="8" refreshedVersion="8" minRefreshableVersion="3" recordCount="0" supportSubquery="1" supportAdvancedDrill="1" xr:uid="{EB785342-B8A0-413E-922C-309E513F6E99}">
  <cacheSource type="external" connectionId="1"/>
  <cacheFields count="6">
    <cacheField name="[Measures].[count calls]" caption="count calls" numFmtId="0" hierarchy="17" level="32767"/>
    <cacheField name="[Measures].[total amount]" caption="total amount" numFmtId="0" hierarchy="18" level="32767"/>
    <cacheField name="[Measures].[total duration]" caption="total duration" numFmtId="0" hierarchy="19" level="32767"/>
    <cacheField name="[Measures].[avg.rating]" caption="avg.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5.563922800924" backgroundQuery="1" createdVersion="8" refreshedVersion="8" minRefreshableVersion="3" recordCount="0" supportSubquery="1" supportAdvancedDrill="1" xr:uid="{8F92A1A1-958E-4120-9209-0D5CC87B108F}">
  <cacheSource type="external" connectionId="1"/>
  <cacheFields count="5">
    <cacheField name="[calls].[Date of Call].[Date of Call]" caption="Date of Call" numFmtId="0" hierarchy="4" level="1">
      <sharedItems containsSemiMixedTypes="0" containsNonDate="0" containsDate="1" containsString="0" minDate="2023-01-01T00:00:00" maxDate="2023-02-01T00:00:00" count="28">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calls]" caption="count calls" numFmtId="0" hierarchy="17" level="32767"/>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5.563923263886" backgroundQuery="1" createdVersion="8" refreshedVersion="8" minRefreshableVersion="3" recordCount="0" supportSubquery="1" supportAdvancedDrill="1" xr:uid="{A3830397-ED55-4723-803B-103FA2511731}">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ount calls]" caption="count calls"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5.563923611109" backgroundQuery="1" createdVersion="8" refreshedVersion="8" minRefreshableVersion="3" recordCount="0" supportSubquery="1" supportAdvancedDrill="1" xr:uid="{2FBCB183-E9A6-4ABE-8B68-66D334AD22A2}">
  <cacheSource type="external" connectionId="1"/>
  <cacheFields count="1">
    <cacheField name="[calls].[Representative].[Representative]" caption="Representative" numFmtId="0" hierarchy="3" level="1">
      <sharedItems count="5">
        <s v="R01"/>
        <s v="R02"/>
        <s v="R03"/>
        <s v="R04"/>
        <s v="R05"/>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5.563924074071" backgroundQuery="1" createdVersion="8" refreshedVersion="8" minRefreshableVersion="3" recordCount="0" supportSubquery="1" supportAdvancedDrill="1" xr:uid="{3EEB0F19-B9F1-4C61-93B1-E0E2CD145915}">
  <cacheSource type="external" connectionId="1"/>
  <cacheFields count="3">
    <cacheField name="[Measures].[count calls]" caption="count calls" numFmtId="0" hierarchy="17" level="32767"/>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refreshedDate="46024.845721064812" backgroundQuery="1" createdVersion="3" refreshedVersion="8" minRefreshableVersion="3" recordCount="0" supportSubquery="1" supportAdvancedDrill="1" xr:uid="{5D5EC194-ED14-4491-A543-07142535C7E1}">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ount calls]" caption="count call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rating]" caption="avg.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66677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BC356-4816-4CEB-967C-1EC725472037}" name="rep amoun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location ref="A84:G103" firstHeaderRow="1" firstDataRow="2" firstDataCol="1"/>
  <pivotFields count="4">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formats count="6">
    <format dxfId="19">
      <pivotArea collapsedLevelsAreSubtotals="1" fieldPosition="0">
        <references count="1">
          <reference field="1" count="1">
            <x v="1"/>
          </reference>
        </references>
      </pivotArea>
    </format>
    <format dxfId="18">
      <pivotArea collapsedLevelsAreSubtotals="1" fieldPosition="0">
        <references count="1">
          <reference field="1" count="1">
            <x v="2"/>
          </reference>
        </references>
      </pivotArea>
    </format>
    <format dxfId="17">
      <pivotArea collapsedLevelsAreSubtotals="1" fieldPosition="0">
        <references count="2">
          <reference field="0" count="5">
            <x v="10"/>
            <x v="11"/>
            <x v="12"/>
            <x v="13"/>
            <x v="14"/>
          </reference>
          <reference field="1" count="1" selected="0">
            <x v="2"/>
          </reference>
        </references>
      </pivotArea>
    </format>
    <format dxfId="16">
      <pivotArea dataOnly="0" fieldPosition="0">
        <references count="2">
          <reference field="0" count="4">
            <x v="0"/>
            <x v="1"/>
            <x v="2"/>
            <x v="3"/>
          </reference>
          <reference field="1" count="1" selected="0">
            <x v="0"/>
          </reference>
        </references>
      </pivotArea>
    </format>
    <format dxfId="15">
      <pivotArea dataOnly="0" fieldPosition="0">
        <references count="2">
          <reference field="0" count="6">
            <x v="4"/>
            <x v="5"/>
            <x v="6"/>
            <x v="7"/>
            <x v="8"/>
            <x v="9"/>
          </reference>
          <reference field="1" count="1" selected="0">
            <x v="1"/>
          </reference>
        </references>
      </pivotArea>
    </format>
    <format dxfId="14">
      <pivotArea dataOnly="0" labelOnly="1" fieldPosition="0">
        <references count="2">
          <reference field="0" count="5">
            <x v="10"/>
            <x v="11"/>
            <x v="12"/>
            <x v="13"/>
            <x v="14"/>
          </reference>
          <reference field="1" count="1" selected="0">
            <x v="2"/>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5D51F3-0B73-4568-9742-C4DC77D8CBEF}"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73:B8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206D5D-B4EE-4F38-8D39-3A5628445B44}" name="month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20:C33" firstHeaderRow="0" firstDataRow="1" firstDataCol="1"/>
  <pivotFields count="5">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ount calls2" fld="4" subtotal="count" baseField="0" baseItem="0">
      <extLst>
        <ext xmlns:x14="http://schemas.microsoft.com/office/spreadsheetml/2009/9/main" uri="{E15A36E0-9728-4e99-A89B-3F7291B0FE68}">
          <x14:dataField sourceField="2" uniqueName="[__Xl2].[Measures].[count calls]"/>
        </ext>
      </extLst>
    </dataField>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 st excel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5FC2765-B602-4B1F-8F3C-F59BC49ECB7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63:H6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CE2191-E06F-43E9-958C-971C3ADBA74B}" name="rep pivot"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2:E1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 st excel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0D0FB8-34DC-472D-AD19-6A99FF09F0A5}" name="summary tabl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 st excel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1DF2A92-B98F-48F7-B121-CE5AD0ADFAE7}" name="selected reps"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9:A65"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formats count="1">
    <format dxfId="20">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E43A3E-6401-4DAB-9519-4320DB51A7B4}"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C54"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 st excel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A830095-F5F6-4296-85F5-D8321AA70D88}" name="week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36:B44" firstHeaderRow="1" firstDataRow="1" firstDataCol="1"/>
  <pivotFields count="3">
    <pivotField axis="axisRow" allDrilled="1" subtotalTop="0" showAll="0" sortType="descending" defaultSubtotal="0" defaultAttributeDrillState="1">
      <items count="7">
        <item x="2"/>
        <item x="0"/>
        <item x="4"/>
        <item x="6"/>
        <item x="5"/>
        <item x="1"/>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 st excel portfolio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286338D-AB51-4C4A-9D5B-2FED20C6D1F4}" sourceName="[calls].[Representative]">
  <pivotTables>
    <pivotTable tabId="6" name="rep pivot"/>
    <pivotTable tabId="6" name="monthly trend"/>
    <pivotTable tabId="6" name="weekly trend"/>
    <pivotTable tabId="6" name="selected reps"/>
    <pivotTable tabId="6" name="rep satisfaction"/>
  </pivotTables>
  <data>
    <olap pivotCacheId="127666770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A6D8F74-D78A-44DF-B1CB-32DE017577B6}"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0E964D71-352A-4885-96CB-07916BD8393C}"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extra 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CE966-65FC-4292-94E1-7219B5AEE124}">
  <dimension ref="A3:J103"/>
  <sheetViews>
    <sheetView topLeftCell="A53" workbookViewId="0">
      <selection activeCell="F66" sqref="F65:F66"/>
    </sheetView>
  </sheetViews>
  <sheetFormatPr defaultRowHeight="14.4" x14ac:dyDescent="0.3"/>
  <cols>
    <col min="1" max="1" width="13.59765625" bestFit="1" customWidth="1"/>
    <col min="2" max="2" width="10.8984375" bestFit="1" customWidth="1"/>
    <col min="3" max="3" width="12" bestFit="1" customWidth="1"/>
    <col min="4" max="4" width="9.8984375" bestFit="1" customWidth="1"/>
    <col min="5" max="5" width="7.796875" bestFit="1" customWidth="1"/>
    <col min="6" max="6" width="7.59765625" bestFit="1" customWidth="1"/>
    <col min="7" max="8" width="11.59765625" bestFit="1" customWidth="1"/>
    <col min="9" max="9" width="11.19921875"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12" spans="1:5" x14ac:dyDescent="0.3">
      <c r="A12" t="s">
        <v>1042</v>
      </c>
      <c r="B12" t="s">
        <v>1043</v>
      </c>
      <c r="C12" t="s">
        <v>1044</v>
      </c>
      <c r="D12" t="s">
        <v>1045</v>
      </c>
      <c r="E12" t="s">
        <v>1046</v>
      </c>
    </row>
    <row r="13" spans="1:5" x14ac:dyDescent="0.3">
      <c r="A13" s="21">
        <v>1000</v>
      </c>
      <c r="B13" s="22">
        <v>96623</v>
      </c>
      <c r="C13" s="21">
        <v>89850</v>
      </c>
      <c r="D13" s="23">
        <v>3.8854000000000033</v>
      </c>
      <c r="E13" s="21">
        <v>307</v>
      </c>
    </row>
    <row r="20" spans="1:3" x14ac:dyDescent="0.3">
      <c r="A20" s="24" t="s">
        <v>1047</v>
      </c>
      <c r="B20" t="s">
        <v>1042</v>
      </c>
      <c r="C20" t="s">
        <v>1061</v>
      </c>
    </row>
    <row r="21" spans="1:3" x14ac:dyDescent="0.3">
      <c r="A21" s="25" t="s">
        <v>1049</v>
      </c>
      <c r="B21" s="21">
        <v>79</v>
      </c>
      <c r="C21" s="21">
        <v>79</v>
      </c>
    </row>
    <row r="22" spans="1:3" x14ac:dyDescent="0.3">
      <c r="A22" s="25" t="s">
        <v>1050</v>
      </c>
      <c r="B22" s="21">
        <v>66</v>
      </c>
      <c r="C22" s="21">
        <v>66</v>
      </c>
    </row>
    <row r="23" spans="1:3" x14ac:dyDescent="0.3">
      <c r="A23" s="25" t="s">
        <v>1051</v>
      </c>
      <c r="B23" s="21">
        <v>155</v>
      </c>
      <c r="C23" s="21">
        <v>155</v>
      </c>
    </row>
    <row r="24" spans="1:3" x14ac:dyDescent="0.3">
      <c r="A24" s="25" t="s">
        <v>1052</v>
      </c>
      <c r="B24" s="21">
        <v>136</v>
      </c>
      <c r="C24" s="21">
        <v>136</v>
      </c>
    </row>
    <row r="25" spans="1:3" x14ac:dyDescent="0.3">
      <c r="A25" s="25" t="s">
        <v>1053</v>
      </c>
      <c r="B25" s="21">
        <v>83</v>
      </c>
      <c r="C25" s="21">
        <v>83</v>
      </c>
    </row>
    <row r="26" spans="1:3" x14ac:dyDescent="0.3">
      <c r="A26" s="25" t="s">
        <v>1054</v>
      </c>
      <c r="B26" s="21">
        <v>67</v>
      </c>
      <c r="C26" s="21">
        <v>67</v>
      </c>
    </row>
    <row r="27" spans="1:3" x14ac:dyDescent="0.3">
      <c r="A27" s="25" t="s">
        <v>1055</v>
      </c>
      <c r="B27" s="21">
        <v>64</v>
      </c>
      <c r="C27" s="21">
        <v>64</v>
      </c>
    </row>
    <row r="28" spans="1:3" x14ac:dyDescent="0.3">
      <c r="A28" s="25" t="s">
        <v>1056</v>
      </c>
      <c r="B28" s="21">
        <v>50</v>
      </c>
      <c r="C28" s="21">
        <v>50</v>
      </c>
    </row>
    <row r="29" spans="1:3" x14ac:dyDescent="0.3">
      <c r="A29" s="25" t="s">
        <v>1057</v>
      </c>
      <c r="B29" s="21">
        <v>76</v>
      </c>
      <c r="C29" s="21">
        <v>76</v>
      </c>
    </row>
    <row r="30" spans="1:3" x14ac:dyDescent="0.3">
      <c r="A30" s="25" t="s">
        <v>1058</v>
      </c>
      <c r="B30" s="21">
        <v>114</v>
      </c>
      <c r="C30" s="21">
        <v>114</v>
      </c>
    </row>
    <row r="31" spans="1:3" x14ac:dyDescent="0.3">
      <c r="A31" s="25" t="s">
        <v>1059</v>
      </c>
      <c r="B31" s="21">
        <v>57</v>
      </c>
      <c r="C31" s="21">
        <v>57</v>
      </c>
    </row>
    <row r="32" spans="1:3" x14ac:dyDescent="0.3">
      <c r="A32" s="25" t="s">
        <v>1060</v>
      </c>
      <c r="B32" s="21">
        <v>53</v>
      </c>
      <c r="C32" s="21">
        <v>53</v>
      </c>
    </row>
    <row r="33" spans="1:10" x14ac:dyDescent="0.3">
      <c r="A33" s="25" t="s">
        <v>1048</v>
      </c>
      <c r="B33" s="21">
        <v>1000</v>
      </c>
      <c r="C33" s="21">
        <v>1000</v>
      </c>
    </row>
    <row r="36" spans="1:10" x14ac:dyDescent="0.3">
      <c r="A36" s="24" t="s">
        <v>1047</v>
      </c>
      <c r="B36" t="s">
        <v>1042</v>
      </c>
    </row>
    <row r="37" spans="1:10" x14ac:dyDescent="0.3">
      <c r="A37" s="25" t="s">
        <v>1064</v>
      </c>
      <c r="B37" s="21">
        <v>161</v>
      </c>
    </row>
    <row r="38" spans="1:10" x14ac:dyDescent="0.3">
      <c r="A38" s="25" t="s">
        <v>1062</v>
      </c>
      <c r="B38" s="21">
        <v>141</v>
      </c>
    </row>
    <row r="39" spans="1:10" x14ac:dyDescent="0.3">
      <c r="A39" s="25" t="s">
        <v>1066</v>
      </c>
      <c r="B39" s="21">
        <v>128</v>
      </c>
    </row>
    <row r="40" spans="1:10" x14ac:dyDescent="0.3">
      <c r="A40" s="25" t="s">
        <v>1068</v>
      </c>
      <c r="B40" s="21">
        <v>153</v>
      </c>
    </row>
    <row r="41" spans="1:10" x14ac:dyDescent="0.3">
      <c r="A41" s="25" t="s">
        <v>1067</v>
      </c>
      <c r="B41" s="21">
        <v>138</v>
      </c>
    </row>
    <row r="42" spans="1:10" x14ac:dyDescent="0.3">
      <c r="A42" s="25" t="s">
        <v>1063</v>
      </c>
      <c r="B42" s="21">
        <v>133</v>
      </c>
    </row>
    <row r="43" spans="1:10" x14ac:dyDescent="0.3">
      <c r="A43" s="25" t="s">
        <v>1065</v>
      </c>
      <c r="B43" s="21">
        <v>146</v>
      </c>
    </row>
    <row r="44" spans="1:10" x14ac:dyDescent="0.3">
      <c r="A44" s="25" t="s">
        <v>1048</v>
      </c>
      <c r="B44" s="21">
        <v>1000</v>
      </c>
    </row>
    <row r="47" spans="1:10" x14ac:dyDescent="0.3">
      <c r="F47" t="s">
        <v>1069</v>
      </c>
      <c r="I47" t="s">
        <v>1075</v>
      </c>
      <c r="J47" t="str">
        <f>A60</f>
        <v>R01</v>
      </c>
    </row>
    <row r="48" spans="1:10" x14ac:dyDescent="0.3">
      <c r="A48" s="24" t="s">
        <v>1047</v>
      </c>
      <c r="B48" t="s">
        <v>1042</v>
      </c>
      <c r="C48" t="s">
        <v>1043</v>
      </c>
      <c r="F48" t="s">
        <v>1070</v>
      </c>
      <c r="G48" t="s">
        <v>1071</v>
      </c>
      <c r="H48" t="s">
        <v>1072</v>
      </c>
      <c r="I48" t="s">
        <v>1073</v>
      </c>
      <c r="J48" t="s">
        <v>1074</v>
      </c>
    </row>
    <row r="49" spans="1:10" x14ac:dyDescent="0.3">
      <c r="A49" s="25" t="s">
        <v>11</v>
      </c>
      <c r="B49" s="21">
        <v>189</v>
      </c>
      <c r="C49" s="22">
        <v>18415</v>
      </c>
      <c r="F49" t="str" cm="1">
        <f t="array" ref="F49:H53">A49:C53</f>
        <v>R01</v>
      </c>
      <c r="G49">
        <v>189</v>
      </c>
      <c r="H49" s="26">
        <v>18415</v>
      </c>
      <c r="I49">
        <f>IF(F49=$J$47,pivots!G49,NA())</f>
        <v>189</v>
      </c>
      <c r="J49">
        <f>IF(F49=$J$47,H49,NA())</f>
        <v>18415</v>
      </c>
    </row>
    <row r="50" spans="1:10" x14ac:dyDescent="0.3">
      <c r="A50" s="25" t="s">
        <v>9</v>
      </c>
      <c r="B50" s="21">
        <v>218</v>
      </c>
      <c r="C50" s="22">
        <v>20581</v>
      </c>
      <c r="F50" t="str">
        <v>R02</v>
      </c>
      <c r="G50">
        <v>218</v>
      </c>
      <c r="H50" s="26">
        <v>20581</v>
      </c>
      <c r="I50" t="e">
        <f>IF(F50=$J$47,pivots!G50,NA())</f>
        <v>#N/A</v>
      </c>
      <c r="J50" t="e">
        <f t="shared" ref="J50:J53" si="0">IF(F50=$J$47,H50,NA())</f>
        <v>#N/A</v>
      </c>
    </row>
    <row r="51" spans="1:10" x14ac:dyDescent="0.3">
      <c r="A51" s="25" t="s">
        <v>6</v>
      </c>
      <c r="B51" s="21">
        <v>207</v>
      </c>
      <c r="C51" s="22">
        <v>20872</v>
      </c>
      <c r="F51" t="str">
        <v>R03</v>
      </c>
      <c r="G51">
        <v>207</v>
      </c>
      <c r="H51" s="26">
        <v>20872</v>
      </c>
      <c r="I51" t="e">
        <f>IF(F51=$J$47,pivots!G51,NA())</f>
        <v>#N/A</v>
      </c>
      <c r="J51" t="e">
        <f t="shared" si="0"/>
        <v>#N/A</v>
      </c>
    </row>
    <row r="52" spans="1:10" x14ac:dyDescent="0.3">
      <c r="A52" s="25" t="s">
        <v>13</v>
      </c>
      <c r="B52" s="21">
        <v>186</v>
      </c>
      <c r="C52" s="22">
        <v>16651</v>
      </c>
      <c r="F52" t="str">
        <v>R04</v>
      </c>
      <c r="G52">
        <v>186</v>
      </c>
      <c r="H52" s="26">
        <v>16651</v>
      </c>
      <c r="I52" t="e">
        <f>IF(F52=$J$47,pivots!G52,NA())</f>
        <v>#N/A</v>
      </c>
      <c r="J52" t="e">
        <f t="shared" si="0"/>
        <v>#N/A</v>
      </c>
    </row>
    <row r="53" spans="1:10" x14ac:dyDescent="0.3">
      <c r="A53" s="25" t="s">
        <v>10</v>
      </c>
      <c r="B53" s="21">
        <v>200</v>
      </c>
      <c r="C53" s="22">
        <v>20104</v>
      </c>
      <c r="F53" t="str">
        <v>R05</v>
      </c>
      <c r="G53">
        <v>200</v>
      </c>
      <c r="H53" s="26">
        <v>20104</v>
      </c>
      <c r="I53" t="e">
        <f>IF(F53=$J$47,pivots!G53,NA())</f>
        <v>#N/A</v>
      </c>
      <c r="J53" t="e">
        <f t="shared" si="0"/>
        <v>#N/A</v>
      </c>
    </row>
    <row r="54" spans="1:10" x14ac:dyDescent="0.3">
      <c r="A54" s="25" t="s">
        <v>1048</v>
      </c>
      <c r="B54" s="21">
        <v>1000</v>
      </c>
      <c r="C54" s="22">
        <v>96623</v>
      </c>
    </row>
    <row r="59" spans="1:10" x14ac:dyDescent="0.3">
      <c r="A59" s="24" t="s">
        <v>1047</v>
      </c>
    </row>
    <row r="60" spans="1:10" x14ac:dyDescent="0.3">
      <c r="A60" s="27" t="s">
        <v>11</v>
      </c>
    </row>
    <row r="61" spans="1:10" x14ac:dyDescent="0.3">
      <c r="A61" s="27" t="s">
        <v>9</v>
      </c>
    </row>
    <row r="62" spans="1:10" x14ac:dyDescent="0.3">
      <c r="A62" s="27" t="s">
        <v>6</v>
      </c>
    </row>
    <row r="63" spans="1:10" x14ac:dyDescent="0.3">
      <c r="A63" s="27" t="s">
        <v>13</v>
      </c>
      <c r="E63" s="24" t="s">
        <v>1042</v>
      </c>
      <c r="F63" s="24" t="s">
        <v>1076</v>
      </c>
    </row>
    <row r="64" spans="1:10" x14ac:dyDescent="0.3">
      <c r="A64" s="27" t="s">
        <v>10</v>
      </c>
      <c r="E64" s="24" t="s">
        <v>1047</v>
      </c>
      <c r="F64" t="s">
        <v>999</v>
      </c>
      <c r="G64" t="s">
        <v>998</v>
      </c>
      <c r="H64" t="s">
        <v>1048</v>
      </c>
    </row>
    <row r="65" spans="1:8" x14ac:dyDescent="0.3">
      <c r="A65" s="25" t="s">
        <v>1048</v>
      </c>
      <c r="E65" s="25" t="s">
        <v>1002</v>
      </c>
      <c r="F65" s="21">
        <v>144</v>
      </c>
      <c r="G65" s="21">
        <v>132</v>
      </c>
      <c r="H65" s="21">
        <v>276</v>
      </c>
    </row>
    <row r="66" spans="1:8" x14ac:dyDescent="0.3">
      <c r="E66" s="25" t="s">
        <v>1001</v>
      </c>
      <c r="F66" s="21">
        <v>326</v>
      </c>
      <c r="G66" s="21">
        <v>63</v>
      </c>
      <c r="H66" s="21">
        <v>389</v>
      </c>
    </row>
    <row r="67" spans="1:8" x14ac:dyDescent="0.3">
      <c r="E67" s="25" t="s">
        <v>1000</v>
      </c>
      <c r="F67" s="21">
        <v>129</v>
      </c>
      <c r="G67" s="21">
        <v>206</v>
      </c>
      <c r="H67" s="21">
        <v>335</v>
      </c>
    </row>
    <row r="68" spans="1:8" x14ac:dyDescent="0.3">
      <c r="E68" s="25" t="s">
        <v>1048</v>
      </c>
      <c r="F68" s="21">
        <v>599</v>
      </c>
      <c r="G68" s="21">
        <v>401</v>
      </c>
      <c r="H68" s="21">
        <v>1000</v>
      </c>
    </row>
    <row r="73" spans="1:8" x14ac:dyDescent="0.3">
      <c r="A73" s="24" t="s">
        <v>1047</v>
      </c>
      <c r="B73" t="s">
        <v>1042</v>
      </c>
    </row>
    <row r="74" spans="1:8" x14ac:dyDescent="0.3">
      <c r="A74" s="25">
        <v>0</v>
      </c>
      <c r="B74" s="21">
        <v>1</v>
      </c>
    </row>
    <row r="75" spans="1:8" x14ac:dyDescent="0.3">
      <c r="A75" s="25">
        <v>1</v>
      </c>
      <c r="B75" s="21">
        <v>8</v>
      </c>
    </row>
    <row r="76" spans="1:8" x14ac:dyDescent="0.3">
      <c r="A76" s="25">
        <v>2</v>
      </c>
      <c r="B76" s="21">
        <v>59</v>
      </c>
    </row>
    <row r="77" spans="1:8" x14ac:dyDescent="0.3">
      <c r="A77" s="25">
        <v>3</v>
      </c>
      <c r="B77" s="21">
        <v>197</v>
      </c>
    </row>
    <row r="78" spans="1:8" x14ac:dyDescent="0.3">
      <c r="A78" s="25">
        <v>4</v>
      </c>
      <c r="B78" s="21">
        <v>428</v>
      </c>
    </row>
    <row r="79" spans="1:8" x14ac:dyDescent="0.3">
      <c r="A79" s="25">
        <v>5</v>
      </c>
      <c r="B79" s="21">
        <v>307</v>
      </c>
    </row>
    <row r="80" spans="1:8" x14ac:dyDescent="0.3">
      <c r="A80" s="25" t="s">
        <v>1048</v>
      </c>
      <c r="B80" s="21">
        <v>1000</v>
      </c>
    </row>
    <row r="84" spans="1:7" x14ac:dyDescent="0.3">
      <c r="A84" s="24" t="s">
        <v>1043</v>
      </c>
      <c r="B84" s="24" t="s">
        <v>1076</v>
      </c>
    </row>
    <row r="85" spans="1:7" x14ac:dyDescent="0.3">
      <c r="A85" s="24" t="s">
        <v>1047</v>
      </c>
      <c r="B85" t="s">
        <v>11</v>
      </c>
      <c r="C85" t="s">
        <v>9</v>
      </c>
      <c r="D85" t="s">
        <v>6</v>
      </c>
      <c r="E85" t="s">
        <v>13</v>
      </c>
      <c r="F85" t="s">
        <v>10</v>
      </c>
      <c r="G85" t="s">
        <v>1048</v>
      </c>
    </row>
    <row r="86" spans="1:7" x14ac:dyDescent="0.3">
      <c r="A86" s="25" t="s">
        <v>1002</v>
      </c>
    </row>
    <row r="87" spans="1:7" x14ac:dyDescent="0.3">
      <c r="A87" s="29" t="s">
        <v>20</v>
      </c>
      <c r="B87" s="28">
        <v>891</v>
      </c>
      <c r="C87" s="28">
        <v>1332</v>
      </c>
      <c r="D87" s="28">
        <v>1282</v>
      </c>
      <c r="E87" s="28">
        <v>739</v>
      </c>
      <c r="F87" s="28">
        <v>560</v>
      </c>
      <c r="G87" s="28">
        <v>4804</v>
      </c>
    </row>
    <row r="88" spans="1:7" x14ac:dyDescent="0.3">
      <c r="A88" s="29" t="s">
        <v>12</v>
      </c>
      <c r="B88" s="28">
        <v>1991</v>
      </c>
      <c r="C88" s="28">
        <v>1886</v>
      </c>
      <c r="D88" s="28">
        <v>1206</v>
      </c>
      <c r="E88" s="28">
        <v>884</v>
      </c>
      <c r="F88" s="28">
        <v>1722</v>
      </c>
      <c r="G88" s="28">
        <v>7689</v>
      </c>
    </row>
    <row r="89" spans="1:7" x14ac:dyDescent="0.3">
      <c r="A89" s="29" t="s">
        <v>8</v>
      </c>
      <c r="B89" s="28">
        <v>1163</v>
      </c>
      <c r="C89" s="28">
        <v>1180</v>
      </c>
      <c r="D89" s="28">
        <v>1616</v>
      </c>
      <c r="E89" s="28">
        <v>1043</v>
      </c>
      <c r="F89" s="28">
        <v>1747</v>
      </c>
      <c r="G89" s="28">
        <v>6749</v>
      </c>
    </row>
    <row r="90" spans="1:7" x14ac:dyDescent="0.3">
      <c r="A90" s="29" t="s">
        <v>16</v>
      </c>
      <c r="B90" s="28">
        <v>1438</v>
      </c>
      <c r="C90" s="28">
        <v>1616</v>
      </c>
      <c r="D90" s="28">
        <v>866</v>
      </c>
      <c r="E90" s="28">
        <v>829</v>
      </c>
      <c r="F90" s="28">
        <v>2070</v>
      </c>
      <c r="G90" s="28">
        <v>6819</v>
      </c>
    </row>
    <row r="91" spans="1:7" x14ac:dyDescent="0.3">
      <c r="A91" s="25" t="s">
        <v>1001</v>
      </c>
    </row>
    <row r="92" spans="1:7" x14ac:dyDescent="0.3">
      <c r="A92" s="29" t="s">
        <v>24</v>
      </c>
      <c r="B92" s="28">
        <v>1233</v>
      </c>
      <c r="C92" s="28">
        <v>223</v>
      </c>
      <c r="D92" s="28">
        <v>1680</v>
      </c>
      <c r="E92" s="28">
        <v>990</v>
      </c>
      <c r="F92" s="28">
        <v>1508</v>
      </c>
      <c r="G92" s="28">
        <v>5634</v>
      </c>
    </row>
    <row r="93" spans="1:7" x14ac:dyDescent="0.3">
      <c r="A93" s="29" t="s">
        <v>15</v>
      </c>
      <c r="B93" s="28">
        <v>1598</v>
      </c>
      <c r="C93" s="28">
        <v>1907</v>
      </c>
      <c r="D93" s="28">
        <v>869</v>
      </c>
      <c r="E93" s="28">
        <v>1426</v>
      </c>
      <c r="F93" s="28">
        <v>1416</v>
      </c>
      <c r="G93" s="28">
        <v>7216</v>
      </c>
    </row>
    <row r="94" spans="1:7" x14ac:dyDescent="0.3">
      <c r="A94" s="29" t="s">
        <v>5</v>
      </c>
      <c r="B94" s="28">
        <v>900</v>
      </c>
      <c r="C94" s="28">
        <v>1016</v>
      </c>
      <c r="D94" s="28">
        <v>960</v>
      </c>
      <c r="E94" s="28">
        <v>940</v>
      </c>
      <c r="F94" s="28">
        <v>1193</v>
      </c>
      <c r="G94" s="28">
        <v>5009</v>
      </c>
    </row>
    <row r="95" spans="1:7" x14ac:dyDescent="0.3">
      <c r="A95" s="29" t="s">
        <v>18</v>
      </c>
      <c r="B95" s="28">
        <v>900</v>
      </c>
      <c r="C95" s="28">
        <v>1470</v>
      </c>
      <c r="D95" s="28">
        <v>1617</v>
      </c>
      <c r="E95" s="28">
        <v>1314</v>
      </c>
      <c r="F95" s="28">
        <v>941</v>
      </c>
      <c r="G95" s="28">
        <v>6242</v>
      </c>
    </row>
    <row r="96" spans="1:7" x14ac:dyDescent="0.3">
      <c r="A96" s="29" t="s">
        <v>14</v>
      </c>
      <c r="B96" s="28">
        <v>1255</v>
      </c>
      <c r="C96" s="28">
        <v>516</v>
      </c>
      <c r="D96" s="28">
        <v>1874</v>
      </c>
      <c r="E96" s="28">
        <v>1863</v>
      </c>
      <c r="F96" s="28">
        <v>1722</v>
      </c>
      <c r="G96" s="28">
        <v>7230</v>
      </c>
    </row>
    <row r="97" spans="1:7" x14ac:dyDescent="0.3">
      <c r="A97" s="29" t="s">
        <v>19</v>
      </c>
      <c r="B97" s="28">
        <v>1138</v>
      </c>
      <c r="C97" s="28">
        <v>1898</v>
      </c>
      <c r="D97" s="28">
        <v>1482</v>
      </c>
      <c r="E97" s="28">
        <v>846</v>
      </c>
      <c r="F97" s="28">
        <v>1154</v>
      </c>
      <c r="G97" s="28">
        <v>6518</v>
      </c>
    </row>
    <row r="98" spans="1:7" x14ac:dyDescent="0.3">
      <c r="A98" s="25" t="s">
        <v>1000</v>
      </c>
    </row>
    <row r="99" spans="1:7" x14ac:dyDescent="0.3">
      <c r="A99" s="29" t="s">
        <v>17</v>
      </c>
      <c r="B99" s="28">
        <v>1655</v>
      </c>
      <c r="C99" s="28">
        <v>805</v>
      </c>
      <c r="D99" s="28">
        <v>2263</v>
      </c>
      <c r="E99" s="28">
        <v>987</v>
      </c>
      <c r="F99" s="28">
        <v>1075</v>
      </c>
      <c r="G99" s="28">
        <v>6785</v>
      </c>
    </row>
    <row r="100" spans="1:7" x14ac:dyDescent="0.3">
      <c r="A100" s="29" t="s">
        <v>23</v>
      </c>
      <c r="B100" s="28">
        <v>1104</v>
      </c>
      <c r="C100" s="28">
        <v>2280</v>
      </c>
      <c r="D100" s="28">
        <v>1445</v>
      </c>
      <c r="E100" s="28">
        <v>1722</v>
      </c>
      <c r="F100" s="28">
        <v>1196</v>
      </c>
      <c r="G100" s="28">
        <v>7747</v>
      </c>
    </row>
    <row r="101" spans="1:7" x14ac:dyDescent="0.3">
      <c r="A101" s="29" t="s">
        <v>7</v>
      </c>
      <c r="B101" s="28">
        <v>372</v>
      </c>
      <c r="C101" s="28">
        <v>1818</v>
      </c>
      <c r="D101" s="28">
        <v>1346</v>
      </c>
      <c r="E101" s="28">
        <v>1156</v>
      </c>
      <c r="F101" s="28">
        <v>1484</v>
      </c>
      <c r="G101" s="28">
        <v>6176</v>
      </c>
    </row>
    <row r="102" spans="1:7" x14ac:dyDescent="0.3">
      <c r="A102" s="29" t="s">
        <v>22</v>
      </c>
      <c r="B102" s="28">
        <v>1415</v>
      </c>
      <c r="C102" s="28">
        <v>1271</v>
      </c>
      <c r="D102" s="28">
        <v>1214</v>
      </c>
      <c r="E102" s="28">
        <v>1135</v>
      </c>
      <c r="F102" s="28">
        <v>1566</v>
      </c>
      <c r="G102" s="28">
        <v>6601</v>
      </c>
    </row>
    <row r="103" spans="1:7" x14ac:dyDescent="0.3">
      <c r="A103" s="29" t="s">
        <v>21</v>
      </c>
      <c r="B103" s="28">
        <v>1362</v>
      </c>
      <c r="C103" s="28">
        <v>1363</v>
      </c>
      <c r="D103" s="28">
        <v>1152</v>
      </c>
      <c r="E103" s="28">
        <v>777</v>
      </c>
      <c r="F103" s="28">
        <v>750</v>
      </c>
      <c r="G103" s="28">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6E714-E167-4CDF-BC7D-922BFEC7AE01}">
  <dimension ref="A1:Z40"/>
  <sheetViews>
    <sheetView tabSelected="1" topLeftCell="B4" workbookViewId="0">
      <selection activeCell="N20" sqref="N20"/>
    </sheetView>
  </sheetViews>
  <sheetFormatPr defaultRowHeight="14.4" x14ac:dyDescent="0.3"/>
  <cols>
    <col min="1" max="1" width="2.09765625" customWidth="1"/>
    <col min="2" max="2" width="2" customWidth="1"/>
    <col min="16" max="16" width="12.09765625" customWidth="1"/>
    <col min="17" max="22" width="9.3984375" bestFit="1" customWidth="1"/>
  </cols>
  <sheetData>
    <row r="1" spans="1:26" x14ac:dyDescent="0.3">
      <c r="A1" s="20"/>
      <c r="B1" s="20"/>
      <c r="C1" s="20"/>
      <c r="D1" s="20"/>
      <c r="E1" s="20"/>
      <c r="F1" s="20"/>
      <c r="G1" s="20"/>
      <c r="H1" s="20"/>
      <c r="I1" s="20"/>
      <c r="J1" s="20"/>
      <c r="K1" s="20"/>
      <c r="L1" s="20"/>
      <c r="M1" s="20"/>
      <c r="N1" s="20"/>
      <c r="O1" s="20"/>
      <c r="P1" s="20"/>
      <c r="Q1" s="20"/>
      <c r="R1" s="20"/>
      <c r="S1" s="20"/>
      <c r="T1" s="20"/>
      <c r="U1" s="20"/>
      <c r="V1" s="20"/>
      <c r="W1" s="20"/>
      <c r="X1" s="20"/>
      <c r="Y1" s="20"/>
      <c r="Z1" s="20"/>
    </row>
    <row r="2" spans="1:26" x14ac:dyDescent="0.3">
      <c r="A2" s="20"/>
      <c r="B2" s="20"/>
      <c r="C2" s="20"/>
      <c r="D2" s="20"/>
      <c r="E2" s="20"/>
      <c r="F2" s="20"/>
      <c r="G2" s="20"/>
      <c r="H2" s="20"/>
      <c r="I2" s="20"/>
      <c r="J2" s="20"/>
      <c r="K2" s="20"/>
      <c r="L2" s="20"/>
      <c r="M2" s="20"/>
      <c r="N2" s="20"/>
      <c r="O2" s="20"/>
      <c r="P2" s="20"/>
      <c r="Q2" s="20"/>
      <c r="R2" s="20"/>
      <c r="S2" s="20"/>
      <c r="T2" s="20"/>
      <c r="U2" s="20"/>
      <c r="V2" s="20"/>
      <c r="W2" s="20"/>
      <c r="X2" s="20"/>
      <c r="Y2" s="20"/>
      <c r="Z2" s="20"/>
    </row>
    <row r="3" spans="1:26" x14ac:dyDescent="0.3">
      <c r="A3" s="20"/>
      <c r="B3" s="20"/>
      <c r="C3" s="20"/>
      <c r="D3" s="20"/>
      <c r="E3" s="20"/>
      <c r="F3" s="20"/>
      <c r="G3" s="20"/>
      <c r="H3" s="20"/>
      <c r="I3" s="20"/>
      <c r="J3" s="20"/>
      <c r="K3" s="20"/>
      <c r="L3" s="20"/>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ht="17.399999999999999" x14ac:dyDescent="0.45">
      <c r="A17" s="20"/>
      <c r="B17" s="20"/>
      <c r="C17" s="20"/>
      <c r="D17" s="20"/>
      <c r="E17" s="20"/>
      <c r="F17" s="20"/>
      <c r="G17" s="20"/>
      <c r="H17" s="20"/>
      <c r="I17" s="20"/>
      <c r="J17" s="20"/>
      <c r="K17" s="20"/>
      <c r="L17" s="20"/>
      <c r="M17" s="20"/>
      <c r="N17" s="20"/>
      <c r="O17" s="20"/>
      <c r="P17" s="20"/>
      <c r="Q17" s="30" t="str" cm="1">
        <f t="array" ref="Q17:U17">pivots!B85:F85</f>
        <v>R01</v>
      </c>
      <c r="R17" s="30" t="str">
        <v>R02</v>
      </c>
      <c r="S17" s="30" t="str">
        <v>R03</v>
      </c>
      <c r="T17" s="30" t="str">
        <v>R04</v>
      </c>
      <c r="U17" s="30" t="str">
        <v>R05</v>
      </c>
      <c r="V17" s="30" t="s">
        <v>1077</v>
      </c>
      <c r="W17" s="20"/>
      <c r="X17" s="20"/>
      <c r="Y17" s="20"/>
      <c r="Z17" s="20"/>
    </row>
    <row r="18" spans="1:26" x14ac:dyDescent="0.3">
      <c r="A18" s="20"/>
      <c r="B18" s="20"/>
      <c r="C18" s="20"/>
      <c r="D18" s="20"/>
      <c r="E18" s="20"/>
      <c r="F18" s="20"/>
      <c r="G18" s="20"/>
      <c r="H18" s="20"/>
      <c r="I18" s="20"/>
      <c r="J18" s="20"/>
      <c r="K18" s="20"/>
      <c r="L18" s="20"/>
      <c r="M18" s="20"/>
      <c r="N18" s="20"/>
      <c r="O18" s="20"/>
      <c r="P18" s="31" t="s">
        <v>1002</v>
      </c>
      <c r="Q18" s="32"/>
      <c r="R18" s="32"/>
      <c r="S18" s="32"/>
      <c r="T18" s="32"/>
      <c r="U18" s="32"/>
      <c r="V18" s="32"/>
      <c r="W18" s="20"/>
      <c r="X18" s="20"/>
      <c r="Y18" s="20"/>
      <c r="Z18" s="20"/>
    </row>
    <row r="19" spans="1:26" x14ac:dyDescent="0.3">
      <c r="A19" s="20"/>
      <c r="B19" s="20"/>
      <c r="C19" s="20"/>
      <c r="D19" s="20"/>
      <c r="E19" s="20"/>
      <c r="F19" s="20"/>
      <c r="G19" s="20"/>
      <c r="H19" s="20"/>
      <c r="I19" s="20"/>
      <c r="J19" s="20"/>
      <c r="K19" s="20"/>
      <c r="L19" s="20"/>
      <c r="M19" s="20"/>
      <c r="N19" s="20"/>
      <c r="O19" s="20"/>
      <c r="P19" s="33" t="s">
        <v>20</v>
      </c>
      <c r="Q19" s="34">
        <v>891</v>
      </c>
      <c r="R19" s="34">
        <v>1332</v>
      </c>
      <c r="S19" s="34">
        <v>1282</v>
      </c>
      <c r="T19" s="34">
        <v>739</v>
      </c>
      <c r="U19" s="34">
        <v>560</v>
      </c>
      <c r="V19" s="34">
        <v>4804</v>
      </c>
      <c r="W19" s="20"/>
      <c r="X19" s="20"/>
      <c r="Y19" s="20"/>
      <c r="Z19" s="20"/>
    </row>
    <row r="20" spans="1:26" x14ac:dyDescent="0.3">
      <c r="A20" s="20"/>
      <c r="B20" s="20"/>
      <c r="C20" s="20"/>
      <c r="D20" s="20"/>
      <c r="E20" s="20"/>
      <c r="F20" s="20"/>
      <c r="G20" s="20"/>
      <c r="H20" s="20"/>
      <c r="I20" s="20"/>
      <c r="J20" s="20"/>
      <c r="K20" s="20"/>
      <c r="L20" s="20"/>
      <c r="M20" s="20"/>
      <c r="N20" s="20"/>
      <c r="O20" s="20"/>
      <c r="P20" s="33" t="s">
        <v>12</v>
      </c>
      <c r="Q20" s="34">
        <v>1991</v>
      </c>
      <c r="R20" s="34">
        <v>1886</v>
      </c>
      <c r="S20" s="34">
        <v>1206</v>
      </c>
      <c r="T20" s="34">
        <v>884</v>
      </c>
      <c r="U20" s="34">
        <v>1722</v>
      </c>
      <c r="V20" s="34">
        <v>7689</v>
      </c>
      <c r="W20" s="20"/>
      <c r="X20" s="20"/>
      <c r="Y20" s="20"/>
      <c r="Z20" s="20"/>
    </row>
    <row r="21" spans="1:26" x14ac:dyDescent="0.3">
      <c r="A21" s="20"/>
      <c r="B21" s="20"/>
      <c r="C21" s="20"/>
      <c r="D21" s="20"/>
      <c r="E21" s="20"/>
      <c r="F21" s="20"/>
      <c r="G21" s="20"/>
      <c r="H21" s="20"/>
      <c r="I21" s="20"/>
      <c r="J21" s="20"/>
      <c r="K21" s="20"/>
      <c r="L21" s="20"/>
      <c r="M21" s="20"/>
      <c r="N21" s="20"/>
      <c r="O21" s="20"/>
      <c r="P21" s="33" t="s">
        <v>8</v>
      </c>
      <c r="Q21" s="34">
        <v>1163</v>
      </c>
      <c r="R21" s="34">
        <v>1180</v>
      </c>
      <c r="S21" s="34">
        <v>1616</v>
      </c>
      <c r="T21" s="34">
        <v>1043</v>
      </c>
      <c r="U21" s="34">
        <v>1747</v>
      </c>
      <c r="V21" s="34">
        <v>6749</v>
      </c>
      <c r="W21" s="20"/>
      <c r="X21" s="20"/>
      <c r="Y21" s="20"/>
      <c r="Z21" s="20"/>
    </row>
    <row r="22" spans="1:26" x14ac:dyDescent="0.3">
      <c r="A22" s="20"/>
      <c r="B22" s="20"/>
      <c r="C22" s="20"/>
      <c r="D22" s="20"/>
      <c r="E22" s="20"/>
      <c r="F22" s="20"/>
      <c r="G22" s="20"/>
      <c r="H22" s="20"/>
      <c r="I22" s="20"/>
      <c r="J22" s="20"/>
      <c r="K22" s="20"/>
      <c r="L22" s="20"/>
      <c r="M22" s="20"/>
      <c r="N22" s="20"/>
      <c r="O22" s="20"/>
      <c r="P22" s="33" t="s">
        <v>16</v>
      </c>
      <c r="Q22" s="34">
        <v>1438</v>
      </c>
      <c r="R22" s="34">
        <v>1616</v>
      </c>
      <c r="S22" s="34">
        <v>866</v>
      </c>
      <c r="T22" s="34">
        <v>829</v>
      </c>
      <c r="U22" s="34">
        <v>2070</v>
      </c>
      <c r="V22" s="34">
        <v>6819</v>
      </c>
      <c r="W22" s="20"/>
      <c r="X22" s="20"/>
      <c r="Y22" s="20"/>
      <c r="Z22" s="20"/>
    </row>
    <row r="23" spans="1:26" x14ac:dyDescent="0.3">
      <c r="A23" s="20"/>
      <c r="B23" s="20"/>
      <c r="C23" s="20"/>
      <c r="D23" s="20"/>
      <c r="E23" s="20"/>
      <c r="F23" s="20"/>
      <c r="G23" s="20"/>
      <c r="H23" s="20"/>
      <c r="I23" s="20"/>
      <c r="J23" s="20"/>
      <c r="K23" s="20"/>
      <c r="L23" s="20"/>
      <c r="M23" s="20"/>
      <c r="N23" s="20"/>
      <c r="O23" s="20"/>
      <c r="P23" s="31" t="s">
        <v>1001</v>
      </c>
      <c r="Q23" s="34"/>
      <c r="R23" s="34"/>
      <c r="S23" s="34"/>
      <c r="T23" s="34"/>
      <c r="U23" s="34"/>
      <c r="V23" s="34"/>
      <c r="W23" s="20"/>
      <c r="X23" s="20"/>
      <c r="Y23" s="20"/>
      <c r="Z23" s="20"/>
    </row>
    <row r="24" spans="1:26" x14ac:dyDescent="0.3">
      <c r="A24" s="20"/>
      <c r="B24" s="20"/>
      <c r="C24" s="20"/>
      <c r="D24" s="20"/>
      <c r="E24" s="20"/>
      <c r="F24" s="20"/>
      <c r="G24" s="20"/>
      <c r="H24" s="20"/>
      <c r="I24" s="20"/>
      <c r="J24" s="20"/>
      <c r="K24" s="20"/>
      <c r="L24" s="20"/>
      <c r="M24" s="20"/>
      <c r="N24" s="20"/>
      <c r="O24" s="20"/>
      <c r="P24" s="33" t="s">
        <v>24</v>
      </c>
      <c r="Q24" s="34">
        <v>1233</v>
      </c>
      <c r="R24" s="34">
        <v>223</v>
      </c>
      <c r="S24" s="34">
        <v>1680</v>
      </c>
      <c r="T24" s="34">
        <v>990</v>
      </c>
      <c r="U24" s="34">
        <v>1508</v>
      </c>
      <c r="V24" s="34">
        <v>5634</v>
      </c>
      <c r="W24" s="20"/>
      <c r="X24" s="20"/>
      <c r="Y24" s="20"/>
      <c r="Z24" s="20"/>
    </row>
    <row r="25" spans="1:26" x14ac:dyDescent="0.3">
      <c r="A25" s="20"/>
      <c r="B25" s="20"/>
      <c r="C25" s="20"/>
      <c r="D25" s="20"/>
      <c r="E25" s="20"/>
      <c r="F25" s="20"/>
      <c r="G25" s="20"/>
      <c r="H25" s="20"/>
      <c r="I25" s="20"/>
      <c r="J25" s="20"/>
      <c r="K25" s="20"/>
      <c r="L25" s="20"/>
      <c r="M25" s="20"/>
      <c r="N25" s="20"/>
      <c r="O25" s="20"/>
      <c r="P25" s="33" t="s">
        <v>15</v>
      </c>
      <c r="Q25" s="34">
        <v>1598</v>
      </c>
      <c r="R25" s="34">
        <v>1907</v>
      </c>
      <c r="S25" s="34">
        <v>869</v>
      </c>
      <c r="T25" s="34">
        <v>1426</v>
      </c>
      <c r="U25" s="34">
        <v>1416</v>
      </c>
      <c r="V25" s="34">
        <v>7216</v>
      </c>
      <c r="W25" s="20"/>
      <c r="X25" s="20"/>
      <c r="Y25" s="20"/>
      <c r="Z25" s="20"/>
    </row>
    <row r="26" spans="1:26" x14ac:dyDescent="0.3">
      <c r="A26" s="20"/>
      <c r="B26" s="20"/>
      <c r="C26" s="20"/>
      <c r="D26" s="20"/>
      <c r="E26" s="20"/>
      <c r="F26" s="20"/>
      <c r="G26" s="20"/>
      <c r="H26" s="20"/>
      <c r="I26" s="20"/>
      <c r="J26" s="20"/>
      <c r="K26" s="20"/>
      <c r="L26" s="20"/>
      <c r="M26" s="20"/>
      <c r="N26" s="20"/>
      <c r="O26" s="20"/>
      <c r="P26" s="33" t="s">
        <v>5</v>
      </c>
      <c r="Q26" s="34">
        <v>900</v>
      </c>
      <c r="R26" s="34">
        <v>1016</v>
      </c>
      <c r="S26" s="34">
        <v>960</v>
      </c>
      <c r="T26" s="34">
        <v>940</v>
      </c>
      <c r="U26" s="34">
        <v>1193</v>
      </c>
      <c r="V26" s="34">
        <v>5009</v>
      </c>
      <c r="W26" s="20"/>
      <c r="X26" s="20"/>
      <c r="Y26" s="20"/>
      <c r="Z26" s="20"/>
    </row>
    <row r="27" spans="1:26" x14ac:dyDescent="0.3">
      <c r="A27" s="20"/>
      <c r="B27" s="20"/>
      <c r="C27" s="20"/>
      <c r="D27" s="20"/>
      <c r="E27" s="20"/>
      <c r="F27" s="20"/>
      <c r="G27" s="20"/>
      <c r="H27" s="20"/>
      <c r="I27" s="20"/>
      <c r="J27" s="20"/>
      <c r="K27" s="20"/>
      <c r="L27" s="20"/>
      <c r="M27" s="20"/>
      <c r="N27" s="20"/>
      <c r="O27" s="20"/>
      <c r="P27" s="33" t="s">
        <v>18</v>
      </c>
      <c r="Q27" s="34">
        <v>900</v>
      </c>
      <c r="R27" s="34">
        <v>1470</v>
      </c>
      <c r="S27" s="34">
        <v>1617</v>
      </c>
      <c r="T27" s="34">
        <v>1314</v>
      </c>
      <c r="U27" s="34">
        <v>941</v>
      </c>
      <c r="V27" s="34">
        <v>6242</v>
      </c>
      <c r="W27" s="20"/>
      <c r="X27" s="20"/>
      <c r="Y27" s="20"/>
      <c r="Z27" s="20"/>
    </row>
    <row r="28" spans="1:26" x14ac:dyDescent="0.3">
      <c r="A28" s="20"/>
      <c r="B28" s="20"/>
      <c r="C28" s="20"/>
      <c r="D28" s="20"/>
      <c r="E28" s="20"/>
      <c r="F28" s="20"/>
      <c r="G28" s="20"/>
      <c r="H28" s="20"/>
      <c r="I28" s="20"/>
      <c r="J28" s="20"/>
      <c r="K28" s="20"/>
      <c r="L28" s="20"/>
      <c r="M28" s="20"/>
      <c r="N28" s="20"/>
      <c r="O28" s="20"/>
      <c r="P28" s="33" t="s">
        <v>14</v>
      </c>
      <c r="Q28" s="34">
        <v>1255</v>
      </c>
      <c r="R28" s="34">
        <v>516</v>
      </c>
      <c r="S28" s="34">
        <v>1874</v>
      </c>
      <c r="T28" s="34">
        <v>1863</v>
      </c>
      <c r="U28" s="34">
        <v>1722</v>
      </c>
      <c r="V28" s="34">
        <v>7230</v>
      </c>
      <c r="W28" s="20"/>
      <c r="X28" s="20"/>
      <c r="Y28" s="20"/>
      <c r="Z28" s="20"/>
    </row>
    <row r="29" spans="1:26" x14ac:dyDescent="0.3">
      <c r="A29" s="20"/>
      <c r="B29" s="20"/>
      <c r="C29" s="20"/>
      <c r="D29" s="20"/>
      <c r="E29" s="20"/>
      <c r="F29" s="20"/>
      <c r="G29" s="20"/>
      <c r="H29" s="20"/>
      <c r="I29" s="20"/>
      <c r="J29" s="20"/>
      <c r="K29" s="20"/>
      <c r="L29" s="20"/>
      <c r="M29" s="20"/>
      <c r="N29" s="20"/>
      <c r="O29" s="20"/>
      <c r="P29" s="33" t="s">
        <v>19</v>
      </c>
      <c r="Q29" s="34">
        <v>1138</v>
      </c>
      <c r="R29" s="34">
        <v>1898</v>
      </c>
      <c r="S29" s="34">
        <v>1482</v>
      </c>
      <c r="T29" s="34">
        <v>846</v>
      </c>
      <c r="U29" s="34">
        <v>1154</v>
      </c>
      <c r="V29" s="34">
        <v>6518</v>
      </c>
      <c r="W29" s="20"/>
      <c r="X29" s="20"/>
      <c r="Y29" s="20"/>
      <c r="Z29" s="20"/>
    </row>
    <row r="30" spans="1:26" x14ac:dyDescent="0.3">
      <c r="A30" s="20"/>
      <c r="B30" s="20"/>
      <c r="C30" s="20"/>
      <c r="D30" s="20"/>
      <c r="E30" s="20"/>
      <c r="F30" s="20"/>
      <c r="G30" s="20"/>
      <c r="H30" s="20"/>
      <c r="I30" s="20"/>
      <c r="J30" s="20"/>
      <c r="K30" s="20"/>
      <c r="L30" s="20"/>
      <c r="M30" s="20"/>
      <c r="N30" s="20"/>
      <c r="O30" s="20"/>
      <c r="P30" s="31" t="s">
        <v>1000</v>
      </c>
      <c r="Q30" s="34"/>
      <c r="R30" s="34"/>
      <c r="S30" s="34"/>
      <c r="T30" s="34"/>
      <c r="U30" s="34"/>
      <c r="V30" s="34"/>
      <c r="W30" s="20"/>
      <c r="X30" s="20"/>
      <c r="Y30" s="20"/>
      <c r="Z30" s="20"/>
    </row>
    <row r="31" spans="1:26" x14ac:dyDescent="0.3">
      <c r="A31" s="20"/>
      <c r="B31" s="20"/>
      <c r="C31" s="20"/>
      <c r="D31" s="20"/>
      <c r="E31" s="20"/>
      <c r="F31" s="20"/>
      <c r="G31" s="20"/>
      <c r="H31" s="20"/>
      <c r="I31" s="20"/>
      <c r="J31" s="20"/>
      <c r="K31" s="20"/>
      <c r="L31" s="20"/>
      <c r="M31" s="20"/>
      <c r="N31" s="20"/>
      <c r="O31" s="20"/>
      <c r="P31" s="33" t="s">
        <v>17</v>
      </c>
      <c r="Q31" s="34">
        <v>1655</v>
      </c>
      <c r="R31" s="34">
        <v>805</v>
      </c>
      <c r="S31" s="34">
        <v>2263</v>
      </c>
      <c r="T31" s="34">
        <v>987</v>
      </c>
      <c r="U31" s="34">
        <v>1075</v>
      </c>
      <c r="V31" s="34">
        <v>6785</v>
      </c>
      <c r="W31" s="20"/>
      <c r="X31" s="20"/>
      <c r="Y31" s="20"/>
      <c r="Z31" s="20"/>
    </row>
    <row r="32" spans="1:26" x14ac:dyDescent="0.3">
      <c r="A32" s="20"/>
      <c r="B32" s="20"/>
      <c r="C32" s="20"/>
      <c r="D32" s="20"/>
      <c r="E32" s="20"/>
      <c r="F32" s="20"/>
      <c r="G32" s="20"/>
      <c r="H32" s="20"/>
      <c r="I32" s="20"/>
      <c r="J32" s="20"/>
      <c r="K32" s="20"/>
      <c r="L32" s="20"/>
      <c r="M32" s="20"/>
      <c r="N32" s="20"/>
      <c r="O32" s="20"/>
      <c r="P32" s="33" t="s">
        <v>23</v>
      </c>
      <c r="Q32" s="34">
        <v>1104</v>
      </c>
      <c r="R32" s="34">
        <v>2280</v>
      </c>
      <c r="S32" s="34">
        <v>1445</v>
      </c>
      <c r="T32" s="34">
        <v>1722</v>
      </c>
      <c r="U32" s="34">
        <v>1196</v>
      </c>
      <c r="V32" s="34">
        <v>7747</v>
      </c>
      <c r="W32" s="20"/>
      <c r="X32" s="20"/>
      <c r="Y32" s="20"/>
      <c r="Z32" s="20"/>
    </row>
    <row r="33" spans="1:26" x14ac:dyDescent="0.3">
      <c r="A33" s="20"/>
      <c r="B33" s="20"/>
      <c r="C33" s="20"/>
      <c r="D33" s="20"/>
      <c r="E33" s="20"/>
      <c r="F33" s="20"/>
      <c r="G33" s="20"/>
      <c r="H33" s="20"/>
      <c r="I33" s="20"/>
      <c r="J33" s="20"/>
      <c r="K33" s="20"/>
      <c r="L33" s="20"/>
      <c r="M33" s="20"/>
      <c r="N33" s="20"/>
      <c r="O33" s="20"/>
      <c r="P33" s="33" t="s">
        <v>7</v>
      </c>
      <c r="Q33" s="34">
        <v>372</v>
      </c>
      <c r="R33" s="34">
        <v>1818</v>
      </c>
      <c r="S33" s="34">
        <v>1346</v>
      </c>
      <c r="T33" s="34">
        <v>1156</v>
      </c>
      <c r="U33" s="34">
        <v>1484</v>
      </c>
      <c r="V33" s="34">
        <v>6176</v>
      </c>
      <c r="W33" s="20"/>
      <c r="X33" s="20"/>
      <c r="Y33" s="20"/>
      <c r="Z33" s="20"/>
    </row>
    <row r="34" spans="1:26" x14ac:dyDescent="0.3">
      <c r="A34" s="20"/>
      <c r="B34" s="20"/>
      <c r="C34" s="20"/>
      <c r="D34" s="20"/>
      <c r="E34" s="20"/>
      <c r="F34" s="20"/>
      <c r="G34" s="20"/>
      <c r="H34" s="20"/>
      <c r="I34" s="20"/>
      <c r="J34" s="20"/>
      <c r="K34" s="20"/>
      <c r="L34" s="20"/>
      <c r="M34" s="20"/>
      <c r="N34" s="20"/>
      <c r="O34" s="20"/>
      <c r="P34" s="33" t="s">
        <v>22</v>
      </c>
      <c r="Q34" s="34">
        <v>1415</v>
      </c>
      <c r="R34" s="34">
        <v>1271</v>
      </c>
      <c r="S34" s="34">
        <v>1214</v>
      </c>
      <c r="T34" s="34">
        <v>1135</v>
      </c>
      <c r="U34" s="34">
        <v>1566</v>
      </c>
      <c r="V34" s="34">
        <v>6601</v>
      </c>
      <c r="W34" s="20"/>
      <c r="X34" s="20"/>
      <c r="Y34" s="20"/>
      <c r="Z34" s="20"/>
    </row>
    <row r="35" spans="1:26" x14ac:dyDescent="0.3">
      <c r="A35" s="20"/>
      <c r="B35" s="20"/>
      <c r="C35" s="20"/>
      <c r="D35" s="20"/>
      <c r="E35" s="20"/>
      <c r="F35" s="20"/>
      <c r="G35" s="20"/>
      <c r="H35" s="20"/>
      <c r="I35" s="20"/>
      <c r="J35" s="20"/>
      <c r="K35" s="20"/>
      <c r="L35" s="20"/>
      <c r="M35" s="20"/>
      <c r="N35" s="20"/>
      <c r="O35" s="20"/>
      <c r="P35" s="33" t="s">
        <v>21</v>
      </c>
      <c r="Q35" s="34">
        <v>1362</v>
      </c>
      <c r="R35" s="34">
        <v>1363</v>
      </c>
      <c r="S35" s="34">
        <v>1152</v>
      </c>
      <c r="T35" s="34">
        <v>777</v>
      </c>
      <c r="U35" s="34">
        <v>750</v>
      </c>
      <c r="V35" s="34">
        <v>5404</v>
      </c>
      <c r="W35" s="20"/>
      <c r="X35" s="20"/>
      <c r="Y35" s="20"/>
      <c r="Z35" s="20"/>
    </row>
    <row r="36" spans="1:26" x14ac:dyDescent="0.3">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x14ac:dyDescent="0.3">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x14ac:dyDescent="0.3">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x14ac:dyDescent="0.3">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sheetData>
  <conditionalFormatting sqref="Q19:U35">
    <cfRule type="dataBar" priority="2">
      <dataBar>
        <cfvo type="min"/>
        <cfvo type="max"/>
        <color rgb="FFFF555A"/>
      </dataBar>
      <extLst>
        <ext xmlns:x14="http://schemas.microsoft.com/office/spreadsheetml/2009/9/main" uri="{B025F937-C7B1-47D3-B67F-A62EFF666E3E}">
          <x14:id>{3EC1991D-152F-47C7-A41A-7CD671320A44}</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EC1991D-152F-47C7-A41A-7CD671320A44}">
            <x14:dataBar minLength="0" maxLength="100" gradient="0">
              <x14:cfvo type="autoMin"/>
              <x14:cfvo type="autoMax"/>
              <x14:negativeFillColor rgb="FFFF0000"/>
              <x14:axisColor rgb="FF000000"/>
            </x14:dataBar>
          </x14:cfRule>
          <xm:sqref>Q19:U35</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115" zoomScaleNormal="115" workbookViewId="0">
      <selection activeCell="E6" sqref="E6"/>
    </sheetView>
  </sheetViews>
  <sheetFormatPr defaultRowHeight="14.4" x14ac:dyDescent="0.3"/>
  <cols>
    <col min="1" max="1" width="3.19921875" customWidth="1"/>
    <col min="2" max="2" width="14.69921875" customWidth="1"/>
    <col min="3" max="3" width="12.8984375" customWidth="1"/>
    <col min="4" max="4" width="16.69921875" customWidth="1"/>
    <col min="5" max="5" width="15" customWidth="1"/>
    <col min="6" max="6" width="16.09765625" customWidth="1"/>
    <col min="7" max="7" width="17.19921875" customWidth="1"/>
    <col min="8" max="8" width="18.296875" customWidth="1"/>
    <col min="9" max="9" width="17.19921875" customWidth="1"/>
    <col min="10" max="12" width="15.3984375" customWidth="1"/>
    <col min="13" max="16" width="7.3984375" customWidth="1"/>
    <col min="17" max="17" width="14.69921875" customWidth="1"/>
    <col min="20" max="20" width="10.6992187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4.4" x14ac:dyDescent="0.3"/>
  <cols>
    <col min="5" max="5" width="10.8984375" customWidth="1"/>
    <col min="6" max="6" width="9.8984375" customWidth="1"/>
  </cols>
  <sheetData>
    <row r="2" spans="5:6" x14ac:dyDescent="0.3">
      <c r="E2" t="s">
        <v>1040</v>
      </c>
      <c r="F2" t="s">
        <v>1041</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customer centre report</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s.girish2007@outlook.com</cp:lastModifiedBy>
  <dcterms:created xsi:type="dcterms:W3CDTF">2021-03-14T20:21:32Z</dcterms:created>
  <dcterms:modified xsi:type="dcterms:W3CDTF">2026-01-04T08:46:32Z</dcterms:modified>
</cp:coreProperties>
</file>